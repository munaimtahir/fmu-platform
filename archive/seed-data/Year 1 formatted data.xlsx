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<sst xmlns="http://schemas.openxmlformats.org/spreadsheetml/2006/main" count="5004" uniqueCount="3095">
  <si>
    <t>Timestamp</t>
  </si>
  <si>
    <t>Email Address</t>
  </si>
  <si>
    <t>Email address</t>
  </si>
  <si>
    <t>Mobile phone number</t>
  </si>
  <si>
    <t>Mobile phone number (E.164)</t>
  </si>
  <si>
    <t>Full name (as per CNIC/B-Form)</t>
  </si>
  <si>
    <t>Father / Guardian name</t>
  </si>
  <si>
    <t>CNIC / B-Form number</t>
  </si>
  <si>
    <t>CNIC / B-Form number 2</t>
  </si>
  <si>
    <t>Column 26</t>
  </si>
  <si>
    <t>Date of birth</t>
  </si>
  <si>
    <t>Gender</t>
  </si>
  <si>
    <t>Permanent address</t>
  </si>
  <si>
    <t>Program applied / admitted to</t>
  </si>
  <si>
    <t>MDCAT roll number</t>
  </si>
  <si>
    <t>FMU Roll Number</t>
  </si>
  <si>
    <t>MDCAT percentage</t>
  </si>
  <si>
    <t>Guardian name</t>
  </si>
  <si>
    <t>Relation with student</t>
  </si>
  <si>
    <t>Guardian phone number (WhatsApp preferred)</t>
  </si>
  <si>
    <t>Guardian email</t>
  </si>
  <si>
    <t>Passport-size photograph (UPLOAD HERE)</t>
  </si>
  <si>
    <t>CNIC / B-Form copy (UPLOAD HERE)</t>
  </si>
  <si>
    <t>Matric/SSC Certificate</t>
  </si>
  <si>
    <t>Fsc. HSSC Certificate</t>
  </si>
  <si>
    <t>Declaration</t>
  </si>
  <si>
    <t>a84807901@gmail.com</t>
  </si>
  <si>
    <t>03254608493</t>
  </si>
  <si>
    <t>Sawaira Asif</t>
  </si>
  <si>
    <t>Muhammad Asif</t>
  </si>
  <si>
    <t>33102-6069775-4</t>
  </si>
  <si>
    <t>Female</t>
  </si>
  <si>
    <t>Street no 05 Abbas park near sant Singh FSD</t>
  </si>
  <si>
    <t>MBBS</t>
  </si>
  <si>
    <t>Father</t>
  </si>
  <si>
    <t>03065231352</t>
  </si>
  <si>
    <t>https://drive.google.com/open?id=1kpawZZceyFVkv0qmYWVpYuAxzx_w6nDp</t>
  </si>
  <si>
    <t>https://drive.google.com/open?id=1Wn5DYyVi9nPyvqdomSm7f4mJUV1DWirT</t>
  </si>
  <si>
    <t>https://drive.google.com/open?id=1pypB16BeahH-z0-Ls_yvwoEaDWZ5QDuo</t>
  </si>
  <si>
    <t>https://drive.google.com/open?id=1H-F_yJN22ziXdeI3R0GYJExdm9A3LSNa</t>
  </si>
  <si>
    <t>I confirm that the information provided above is correct to the best of my knowledge.</t>
  </si>
  <si>
    <t>ah1557201@gmail.com</t>
  </si>
  <si>
    <t>03443670159</t>
  </si>
  <si>
    <t xml:space="preserve">Ali Hassan </t>
  </si>
  <si>
    <t>Muhammad Sadiq</t>
  </si>
  <si>
    <t>31304-0521576-5</t>
  </si>
  <si>
    <t>Male</t>
  </si>
  <si>
    <t xml:space="preserve">P/O Khas Chak No 186p Teshil Sadiqabad District Rahim Yar Khan </t>
  </si>
  <si>
    <t xml:space="preserve">MBBS </t>
  </si>
  <si>
    <t xml:space="preserve">Muhammad Sadiq </t>
  </si>
  <si>
    <t xml:space="preserve">Father </t>
  </si>
  <si>
    <t>03097564965</t>
  </si>
  <si>
    <t>https://drive.google.com/open?id=1BiPDviV3wJLeGxxsBK8VGoZyN-SCOHni</t>
  </si>
  <si>
    <t>https://drive.google.com/open?id=1GCjsH3wMQ5IVrBNdmhareg7Ube6DLk7E</t>
  </si>
  <si>
    <t>https://drive.google.com/open?id=17nv-Mal2FXMmROjS4KmmApW0jlyYGvt9</t>
  </si>
  <si>
    <t>https://drive.google.com/open?id=1SAPddcEd7zK-aWgmrAzXfDi1a5xRsV7F</t>
  </si>
  <si>
    <t>ayeshamarriam541@gmail.com</t>
  </si>
  <si>
    <t>03006113678</t>
  </si>
  <si>
    <t xml:space="preserve">Ayesha Marriam </t>
  </si>
  <si>
    <t xml:space="preserve">Muhammad Yasin Qamar </t>
  </si>
  <si>
    <t xml:space="preserve">House no 103 B new model town burewala </t>
  </si>
  <si>
    <t>03008456375</t>
  </si>
  <si>
    <t>myqamar541@gmail.com</t>
  </si>
  <si>
    <t>https://drive.google.com/open?id=1X5u76ReWaWJi5y9_y7fG_VbzR0IWCw8b</t>
  </si>
  <si>
    <t>https://drive.google.com/open?id=1AaxpL0HcPxua8fhh-I9vsNTcxlSanRK2</t>
  </si>
  <si>
    <t>https://drive.google.com/open?id=1Yq3RTc_u_aC4S-TA0eBm9OMOReB79IFt</t>
  </si>
  <si>
    <t>https://drive.google.com/open?id=1rVr8KV3ilSjLGJNVmt_ONOezKo7Byppx</t>
  </si>
  <si>
    <t>hurerataj@gmail.com</t>
  </si>
  <si>
    <t>03356353249</t>
  </si>
  <si>
    <t xml:space="preserve">Muhammad Abu Hurara </t>
  </si>
  <si>
    <t xml:space="preserve">Taj Muhammad </t>
  </si>
  <si>
    <t>Ameer Town Pir Mahal Road,Rajana</t>
  </si>
  <si>
    <t>03346191285</t>
  </si>
  <si>
    <t>acroso567@gmail.com</t>
  </si>
  <si>
    <t>https://drive.google.com/open?id=1OcxuVOFY5A-_Cmp_hYJEUExtkfce3bN4</t>
  </si>
  <si>
    <t>https://drive.google.com/open?id=17wGzMFv07yCZnpVyWhFGpBJqPTbLaea4</t>
  </si>
  <si>
    <t>https://drive.google.com/open?id=1HsijsEDHdE3q-6kqFFSclMXpKMGRQWSv</t>
  </si>
  <si>
    <t>https://drive.google.com/open?id=1FQi85EhH43HHqjUuTWPoE2sfTScQ8_oc</t>
  </si>
  <si>
    <t>faizanmanzoor1023@gmail.com</t>
  </si>
  <si>
    <t>Yes</t>
  </si>
  <si>
    <t>03271091363</t>
  </si>
  <si>
    <t xml:space="preserve">Faizan Manzoor </t>
  </si>
  <si>
    <t xml:space="preserve">Manzoor Ahmad </t>
  </si>
  <si>
    <t xml:space="preserve">Ali Town Street No 4 Chichawatni District Sahiwal </t>
  </si>
  <si>
    <t>https://drive.google.com/open?id=18-dtz5uofRnCwBt84CNbViARyTt_TsSA</t>
  </si>
  <si>
    <t>https://drive.google.com/open?id=1nHqvQXKP-y63WphNaTjeID6FatrCZsJe</t>
  </si>
  <si>
    <t>https://drive.google.com/open?id=1noGpXGGvA9K6X7J_WaxjQAyLcr4elfAz</t>
  </si>
  <si>
    <t>https://drive.google.com/open?id=13cy0xRp64JmdvwfLGgO8Oj7xeIyJWtB0</t>
  </si>
  <si>
    <t>tahira.aslamahmadhamid@gmail.com</t>
  </si>
  <si>
    <t>03107239938</t>
  </si>
  <si>
    <t>Muhammad Ahmad</t>
  </si>
  <si>
    <t>Muhammad Aslam</t>
  </si>
  <si>
    <t>Chak no.59/4R tehsil and district sahiwal</t>
  </si>
  <si>
    <t>Mbbs</t>
  </si>
  <si>
    <t>Tahira parveen</t>
  </si>
  <si>
    <t>Mother</t>
  </si>
  <si>
    <t>03209766959</t>
  </si>
  <si>
    <t>Ahmadaslam5957@gmail.com</t>
  </si>
  <si>
    <t>https://drive.google.com/open?id=1xpStfLjdW6Sj8YMKwKu7c9KRPhJJwJgH</t>
  </si>
  <si>
    <t>https://drive.google.com/open?id=1or7IYSj0B3ulsGpxAkGgwrGbnenkA8-y</t>
  </si>
  <si>
    <t>https://drive.google.com/open?id=119bO7KmX11OfE_CM6ZSot43GVKrETYkT</t>
  </si>
  <si>
    <t>https://drive.google.com/open?id=125g4SbTrHWWVdb-1L8_speZ_35ibZOPI</t>
  </si>
  <si>
    <t>munihaagha@gmail.com</t>
  </si>
  <si>
    <t>03202929069</t>
  </si>
  <si>
    <t xml:space="preserve">Muniha Agha </t>
  </si>
  <si>
    <t xml:space="preserve">Agha Munir Hussain </t>
  </si>
  <si>
    <t>33100-9704828-2</t>
  </si>
  <si>
    <t xml:space="preserve">Nazimabad Block A st 9 P 409 Faisalabad </t>
  </si>
  <si>
    <t>03009657660</t>
  </si>
  <si>
    <t>aghamoasib@gmail.com</t>
  </si>
  <si>
    <t>https://drive.google.com/open?id=10U7beW-k2ggdeecUMW9gjK4blW7upN1G</t>
  </si>
  <si>
    <t>https://drive.google.com/open?id=1L3BEQNBli8n701piBOcKo_HTK-7UfJr3</t>
  </si>
  <si>
    <t>https://drive.google.com/open?id=1G_FZkNJT1emn95ShjkJZ0OojxhMy0PuB</t>
  </si>
  <si>
    <t>https://drive.google.com/open?id=1aaXkLN54AE9UAxkEJnvUarrXj0mB4sQY</t>
  </si>
  <si>
    <t>2020ambitious129@gmail.com</t>
  </si>
  <si>
    <t>03274979119</t>
  </si>
  <si>
    <t xml:space="preserve">Muneeb Arif </t>
  </si>
  <si>
    <t>Muhammad Arif</t>
  </si>
  <si>
    <t xml:space="preserve">House No 132, Street Zargarah Miraj center sheikhupura </t>
  </si>
  <si>
    <t xml:space="preserve">Muhammad Arif </t>
  </si>
  <si>
    <t>03129407091</t>
  </si>
  <si>
    <t>taliaarif57@gmail.com</t>
  </si>
  <si>
    <t>https://drive.google.com/open?id=1eGHXM5oEk4ajUSWJoCmHUw-nACKSdqTK</t>
  </si>
  <si>
    <t>https://drive.google.com/open?id=10pN00i0BnNu1sDTJamptI4k1Hu1FxkKr</t>
  </si>
  <si>
    <t>https://drive.google.com/open?id=1xPu8iOP-BpHkrxCExw5dtuPJO0PD6oAv</t>
  </si>
  <si>
    <t>https://drive.google.com/open?id=1ykB032lDbHhTCLXlMg5E9uPA-M3ARswW</t>
  </si>
  <si>
    <t>asjadrafiq939@gmail.com</t>
  </si>
  <si>
    <t>03247744379</t>
  </si>
  <si>
    <t>Muhammad Asjad Rafique</t>
  </si>
  <si>
    <t>Muhammad Rafique</t>
  </si>
  <si>
    <t>Gojra Road Nai Samundri near Grid station Samundri Faisalabad</t>
  </si>
  <si>
    <t>Rafia Sultana</t>
  </si>
  <si>
    <t>03263855492</t>
  </si>
  <si>
    <t>asjadrafiq111@gmail.com</t>
  </si>
  <si>
    <t>https://drive.google.com/open?id=1LB9Rdy6OptWNXyKsjA5kd0aFrp3hj7cd</t>
  </si>
  <si>
    <t>https://drive.google.com/open?id=1N1mjGiqJoa5M40PTcaNahuHBqo5MjVHo</t>
  </si>
  <si>
    <t>https://drive.google.com/open?id=1zw5OHYJDTrhqyD_6UYNGioXwvUrIKDuh</t>
  </si>
  <si>
    <t>https://drive.google.com/open?id=1KVzQZvcmzE6_Y0zJ1qEfmmgga75Ex4h4</t>
  </si>
  <si>
    <t>7786maliktayyab@gmail.com</t>
  </si>
  <si>
    <t>03213545326</t>
  </si>
  <si>
    <t xml:space="preserve">Tayyab Rasheed </t>
  </si>
  <si>
    <t>Malik Muhammad Rasheed</t>
  </si>
  <si>
    <t xml:space="preserve">Model city colony lodhran </t>
  </si>
  <si>
    <t xml:space="preserve">Malik Muhammad Rasheed </t>
  </si>
  <si>
    <t>03017481123</t>
  </si>
  <si>
    <t>mmaliktayyab502@gmail.com</t>
  </si>
  <si>
    <t>https://drive.google.com/open?id=1X2QFkYq4lEYztDdryKSq2rDVQebBr3ip</t>
  </si>
  <si>
    <t>https://drive.google.com/open?id=1YmRgpPTLaDnrPpHFp9Q0epP16Xu1DhCt</t>
  </si>
  <si>
    <t>naseerhamza552@gmail.com</t>
  </si>
  <si>
    <t>03071440267</t>
  </si>
  <si>
    <t>Hamza</t>
  </si>
  <si>
    <t>Naseer Ahmed</t>
  </si>
  <si>
    <t>PO khas , chak no.267e/b , Burewala,District Vehari ,Pakistan</t>
  </si>
  <si>
    <t>https://drive.google.com/open?id=1ZPvTGoqzq6glV7PS3TClxzkt89kuuly_</t>
  </si>
  <si>
    <t>https://drive.google.com/open?id=1pYVtD98y0FfuZYExUt-fGouS7qCp65ey</t>
  </si>
  <si>
    <t>https://drive.google.com/open?id=1A_ISd81y3ol8qKH1wNPU_3HHhwsSdsyT</t>
  </si>
  <si>
    <t>https://drive.google.com/open?id=1SUybayKcliT53XzAK1hbyotfWkNY-GbT</t>
  </si>
  <si>
    <t>meddoctor9404@gmail.com</t>
  </si>
  <si>
    <t xml:space="preserve">0328 4075392 </t>
  </si>
  <si>
    <t xml:space="preserve">Syed Muhammad Badar ud Din Haider </t>
  </si>
  <si>
    <t xml:space="preserve">Muhammad Armughan Haider Syed </t>
  </si>
  <si>
    <t>35202-7765580-5</t>
  </si>
  <si>
    <t xml:space="preserve">House no 23 Bahria Rose Garden Lahore </t>
  </si>
  <si>
    <t>Khadija Tul Kubra</t>
  </si>
  <si>
    <t>03334087418</t>
  </si>
  <si>
    <t>khadija_po206@uet.edu.pk</t>
  </si>
  <si>
    <t>https://drive.google.com/open?id=1eZHznyotEgSJOH9SZyFLbMsKjuRQiayy</t>
  </si>
  <si>
    <t>https://drive.google.com/open?id=1rhE-qyR-kSxUUGyujPyZBKZpzMRGXrVw</t>
  </si>
  <si>
    <t>https://drive.google.com/open?id=1hlhyU-2PweCDPu4ou2w0ZBwHZnR_rrCv</t>
  </si>
  <si>
    <t>https://drive.google.com/open?id=1n5OJYeX-iTKnrLf5AUqPvTtRq_CVJi6e</t>
  </si>
  <si>
    <t>nasserkaloi1234@gmail.com</t>
  </si>
  <si>
    <t>kaloinaveed48@gmail.com</t>
  </si>
  <si>
    <t>03306228861</t>
  </si>
  <si>
    <t xml:space="preserve">Muhammad Naveed </t>
  </si>
  <si>
    <t xml:space="preserve">Ghulam fareed </t>
  </si>
  <si>
    <t>32104-0519558-3</t>
  </si>
  <si>
    <t>Darkhwast Jamal Khan tehsil kot Chutta district dgkhan</t>
  </si>
  <si>
    <t>03426438052</t>
  </si>
  <si>
    <t>https://drive.google.com/open?id=1bGYYfwM0LTSquUhZrIVueInbQC9ZnL0e</t>
  </si>
  <si>
    <t>https://drive.google.com/open?id=1M6tUI-OAOHJ1jB18rnmUIuKLZzgTy-aL</t>
  </si>
  <si>
    <t>https://drive.google.com/open?id=1ysizt4gpoZHPMRxCdvLDkvpLZTDkeW4T</t>
  </si>
  <si>
    <t>https://drive.google.com/open?id=1pm6HCAmH7BGnORduYYp1UGyEqUvsEbOb</t>
  </si>
  <si>
    <t>ourrehman076@gmail.com</t>
  </si>
  <si>
    <t>03274977537</t>
  </si>
  <si>
    <t>OBAID UR REHMAN</t>
  </si>
  <si>
    <t>Tariq Ali</t>
  </si>
  <si>
    <t>Ali house muridke road near canal colony Farooqabad district sheikhupura</t>
  </si>
  <si>
    <t>03014475227</t>
  </si>
  <si>
    <t>ourrehman075@gmail.com</t>
  </si>
  <si>
    <t>https://drive.google.com/open?id=1F2SLxf0K0jHQrrdo-0jQ8U8_WcO7ZgC8</t>
  </si>
  <si>
    <t>https://drive.google.com/open?id=1sSlH91Ssjnn4Hxjx8EfrfVdOFI4jdVls</t>
  </si>
  <si>
    <t>https://drive.google.com/open?id=1zztA5z7ep00Xw3Du3xgwhzQ9mQMTPlrw</t>
  </si>
  <si>
    <t>https://drive.google.com/open?id=1fZHJMwvRr6mNRR5c-1srBIZfGikMQbvA</t>
  </si>
  <si>
    <t>www.mhammadafzal@gmail.com</t>
  </si>
  <si>
    <t>03198420759</t>
  </si>
  <si>
    <t xml:space="preserve">Hammad Afzal </t>
  </si>
  <si>
    <t xml:space="preserve">Muhammad Afzal </t>
  </si>
  <si>
    <t xml:space="preserve">Sandhilianwali Tehsil Pirmahal District Toba Tek Singh </t>
  </si>
  <si>
    <t>03437795550</t>
  </si>
  <si>
    <t>muhammadafzal761s.wali@gmail.com</t>
  </si>
  <si>
    <t>https://drive.google.com/open?id=16GM02mPkOe10Fnp1zCsD3XqWdvV8Y965</t>
  </si>
  <si>
    <t>https://drive.google.com/open?id=1vyXq9dsBaeEM_pQcjWzoNbmjh1Xde1S1</t>
  </si>
  <si>
    <t>https://drive.google.com/open?id=1lFta2g9b8JS0Nel-WTsAyZCDTM8dcwwp</t>
  </si>
  <si>
    <t>https://drive.google.com/open?id=1GwTuWznyu0DWve7yYotkqyHY9b_lX0Z3</t>
  </si>
  <si>
    <t>umehabibaasghar05@gmail.com</t>
  </si>
  <si>
    <t>0323 7851866</t>
  </si>
  <si>
    <t xml:space="preserve">UM E HABIBA ASGHAR </t>
  </si>
  <si>
    <t xml:space="preserve">MUHAMMAD ASGHAR </t>
  </si>
  <si>
    <t>32304-4479082-0</t>
  </si>
  <si>
    <t xml:space="preserve">SOCIAL SECURITY HOSPITAL, MOHALLA NABI BAKSH COLONY, MUZAFFAR GARH </t>
  </si>
  <si>
    <t xml:space="preserve">FATHER </t>
  </si>
  <si>
    <t>0302 6988744</t>
  </si>
  <si>
    <t xml:space="preserve">maharmuhammadasghar5@gmail.com  </t>
  </si>
  <si>
    <t>https://drive.google.com/open?id=1M-MHdcLurWTVOAc6SKn8ipOC3zq9zVYD</t>
  </si>
  <si>
    <t>https://drive.google.com/open?id=1qEWlFVEvk85RdigBuJM0GCy1YhmYzqjB</t>
  </si>
  <si>
    <t>https://drive.google.com/open?id=1fGOzMcrX7wbnBOv-4Rg8Fe6aXgWFDWBF</t>
  </si>
  <si>
    <t>https://drive.google.com/open?id=169lZimUYwMhGstVXZX9c1twyORipE50g</t>
  </si>
  <si>
    <t>afaqatif08@gmail.com</t>
  </si>
  <si>
    <t>03339633411</t>
  </si>
  <si>
    <t>Afaq Atif</t>
  </si>
  <si>
    <t>Samee Ullah</t>
  </si>
  <si>
    <t>38102-1678465-1</t>
  </si>
  <si>
    <t>Mohalla Sialan wala Darya Khan District Bhakkar</t>
  </si>
  <si>
    <t>Amanullah</t>
  </si>
  <si>
    <t>Uncle</t>
  </si>
  <si>
    <t>03096670026</t>
  </si>
  <si>
    <t>sabirsdf26@gmail.com</t>
  </si>
  <si>
    <t>https://drive.google.com/open?id=1r-GmtyBxHdoALm6W0ObSvxhO9Vpdq2yu</t>
  </si>
  <si>
    <t>https://drive.google.com/open?id=1J4nq1BmvkQtzKtTImoOCJYL9C8w98Z38</t>
  </si>
  <si>
    <t>https://drive.google.com/open?id=1FCeb8McpTEnGgsMvZC8wm_myX-PQzCFM</t>
  </si>
  <si>
    <t>https://drive.google.com/open?id=1g07bV9wzSHZSKXfw4SnzOQn_UemoVDvr</t>
  </si>
  <si>
    <t>ahmad123raza543@gmail.com</t>
  </si>
  <si>
    <t>03080633626</t>
  </si>
  <si>
    <t xml:space="preserve">Ahmad raza </t>
  </si>
  <si>
    <t xml:space="preserve">Muhammad Ikram ud din </t>
  </si>
  <si>
    <t xml:space="preserve">House no 2 B GT ROAD A colony okara </t>
  </si>
  <si>
    <t>03086129046</t>
  </si>
  <si>
    <t>rikramudin23@gmail.com</t>
  </si>
  <si>
    <t>https://drive.google.com/open?id=1PWkarJ3708BwgZgu1j69D3W0dbP1vs2U</t>
  </si>
  <si>
    <t>https://drive.google.com/open?id=1tO54UWtaEDvVT7FMbXztZ6fTTc8ur5hW</t>
  </si>
  <si>
    <t>https://drive.google.com/open?id=1scH-DAJpo_2haJsezc6m8vmgtDRL5Qag</t>
  </si>
  <si>
    <t>https://drive.google.com/open?id=1fHWrewOuVVMOs7GwKdQcfvPHW02cYilE</t>
  </si>
  <si>
    <t>samreenaniqa8@gmail.com</t>
  </si>
  <si>
    <t>03115780908</t>
  </si>
  <si>
    <t xml:space="preserve">Aniqa Samreen Azhar </t>
  </si>
  <si>
    <t xml:space="preserve">Azhar Mahmood </t>
  </si>
  <si>
    <t>Suiddque chowk,near sultan public school, dhok kala khan, shamsabad,Rawalpindi.</t>
  </si>
  <si>
    <t>03138423858</t>
  </si>
  <si>
    <t>Malikazhar.awan@gmail.com</t>
  </si>
  <si>
    <t>https://drive.google.com/open?id=1B9wANxTWHzGzYDDNxLrzvjILcVVnwfiH</t>
  </si>
  <si>
    <t>https://drive.google.com/open?id=1lc68QADw5Bn7SV9GOKIevvpQIgk5SwBp</t>
  </si>
  <si>
    <t>https://drive.google.com/open?id=1aJbMLiF4h1qJ1qZxm7xmQjRZnBp8lMiR</t>
  </si>
  <si>
    <t>https://drive.google.com/open?id=1d_biXDSlmIxOGkS1Ugb8dknY5nsWLo_2</t>
  </si>
  <si>
    <t>khadijahlateef655@gmail.com</t>
  </si>
  <si>
    <t>03091414283</t>
  </si>
  <si>
    <t xml:space="preserve">Khadijah </t>
  </si>
  <si>
    <t xml:space="preserve">Abdul lateef </t>
  </si>
  <si>
    <t xml:space="preserve">Street#10, house#4, new green town, goal chok, millat road faisalabad </t>
  </si>
  <si>
    <t xml:space="preserve">Muhammad Zubair </t>
  </si>
  <si>
    <t xml:space="preserve">Brother </t>
  </si>
  <si>
    <t>03008130501</t>
  </si>
  <si>
    <t>zubairanjum3719@gmail.com</t>
  </si>
  <si>
    <t>m.harisashraf0123@gmail.com</t>
  </si>
  <si>
    <t>03011933331</t>
  </si>
  <si>
    <t xml:space="preserve">Muhammad Haris Ashraf </t>
  </si>
  <si>
    <t xml:space="preserve">Muhammad Ashraf </t>
  </si>
  <si>
    <t>36501-6346665-1</t>
  </si>
  <si>
    <t xml:space="preserve">Muhammad abad, ward number 18, house number 1023, Chichawatni, District Sahiwal </t>
  </si>
  <si>
    <t>03216525460</t>
  </si>
  <si>
    <t>usama.ashraf@hotmail.com</t>
  </si>
  <si>
    <t>https://drive.google.com/open?id=1EeZu9cWzYLDXeNYNffoLsTSHSG12QeuH</t>
  </si>
  <si>
    <t>https://drive.google.com/open?id=1alg5yvdR008X7tY8JNHJYjJ2kcgMkt9s</t>
  </si>
  <si>
    <t>https://drive.google.com/open?id=1uYoaqhlZY-rHtLuCOeBovOszcFP1XMlR</t>
  </si>
  <si>
    <t>https://drive.google.com/open?id=1TKteDP4O6-LRN-nunzYMl3MxNaoEc-yv</t>
  </si>
  <si>
    <t>ayeshasheikh2914@gmail.com</t>
  </si>
  <si>
    <t xml:space="preserve">ayeshasheikh2914@gmail.com </t>
  </si>
  <si>
    <t xml:space="preserve">Areeba waqas </t>
  </si>
  <si>
    <t xml:space="preserve">Sheikh waqas rafique </t>
  </si>
  <si>
    <t xml:space="preserve">P 64 kareem town peoples colony 2 hilal road faisalabad </t>
  </si>
  <si>
    <t>03216613282</t>
  </si>
  <si>
    <t>waqas24us@gmail. com</t>
  </si>
  <si>
    <t>https://drive.google.com/open?id=1qLk1F_ObGKH4-kQ0gVsMoxYMSg3hQgvb</t>
  </si>
  <si>
    <t>https://drive.google.com/open?id=1Rj9Ugx1I677J0S87Os75A4SsO0_cOPAc</t>
  </si>
  <si>
    <t>https://drive.google.com/open?id=1TurVYvdVyRun2ades1Jk2y_y7LxsJgZ-</t>
  </si>
  <si>
    <t>https://drive.google.com/open?id=1sRfMZKz6Zz3qSMEX1bsubCnQkhZM1GEi</t>
  </si>
  <si>
    <t>shaaahid0786@gmail.com</t>
  </si>
  <si>
    <t>03290949866</t>
  </si>
  <si>
    <t xml:space="preserve">Muhammad Shahid </t>
  </si>
  <si>
    <t xml:space="preserve">Atta Ullah </t>
  </si>
  <si>
    <t>33105-0228881-3</t>
  </si>
  <si>
    <t xml:space="preserve">Main Bazar mohallah Islamabad street no 4 samundri fsd </t>
  </si>
  <si>
    <t>03076432068</t>
  </si>
  <si>
    <t xml:space="preserve">drshaisskhan866@gmail.com </t>
  </si>
  <si>
    <t>https://drive.google.com/open?id=1D966fqG61Y5oC4hK16b-Cc7vaqYIRsss</t>
  </si>
  <si>
    <t>https://drive.google.com/open?id=1AJRCjOMcgqLjUiBz-mjf8QQ6kYnykP4Y</t>
  </si>
  <si>
    <t>https://drive.google.com/open?id=1NtIxWDrjkGUrBNMG8S_andcoe97bJspF</t>
  </si>
  <si>
    <t>https://drive.google.com/open?id=1wlhlOzaQqEjnLPeiT8KLmq9dRVuHBQw_</t>
  </si>
  <si>
    <t>mianabdullah7569@gmail.com</t>
  </si>
  <si>
    <t>03128650575</t>
  </si>
  <si>
    <t>Abdullah</t>
  </si>
  <si>
    <t>Naseer Ahmad</t>
  </si>
  <si>
    <t>33102-7924791-9</t>
  </si>
  <si>
    <t>House No. 69 Block B Ghulam Muhammad Abad Faisalabad</t>
  </si>
  <si>
    <t>03007260316</t>
  </si>
  <si>
    <t>anaseer064@gmail.com</t>
  </si>
  <si>
    <t>https://drive.google.com/open?id=1P-Zp2g3UsthOFhInKgnnnH2gPIlwk7dd</t>
  </si>
  <si>
    <t>https://drive.google.com/open?id=1kdGJozEoF-M_tuKrIXHqcydn5_DsCJR3</t>
  </si>
  <si>
    <t>https://drive.google.com/open?id=1gCN6NSyBCoZeFYXW-9RzmnY_6L0k4VCO</t>
  </si>
  <si>
    <t>https://drive.google.com/open?id=1TEPftFa_Db24s_yYaCJ4QpkHNoPOUIuU</t>
  </si>
  <si>
    <t>sidraamjad248@gmail.com</t>
  </si>
  <si>
    <t>03477615607</t>
  </si>
  <si>
    <t>Sidra Amjad</t>
  </si>
  <si>
    <t>Amjad Ali</t>
  </si>
  <si>
    <t>33102-2833000-2</t>
  </si>
  <si>
    <t>Bashirabad, street no 4, Faisalabad.</t>
  </si>
  <si>
    <t>03007937405</t>
  </si>
  <si>
    <t>ranaamjadali524@gmail.com</t>
  </si>
  <si>
    <t>https://drive.google.com/open?id=1U1usqMlyVQGdWVjZ6uF8xXkNgf2L4W6M</t>
  </si>
  <si>
    <t>https://drive.google.com/open?id=1t5Kdu6-pysEsNC2kgt4nIAGOIHIjqf-H</t>
  </si>
  <si>
    <t>https://drive.google.com/open?id=1E4qamuLeD5G4FGBrKl4tkCmSRY_51orl</t>
  </si>
  <si>
    <t>https://drive.google.com/open?id=1K2ctrrBXItGwsuj3HSqzJeVak6nYyAp0</t>
  </si>
  <si>
    <t>atif.mughal9652@gmail.com</t>
  </si>
  <si>
    <t>03334500616</t>
  </si>
  <si>
    <t xml:space="preserve">Muhammad Atif </t>
  </si>
  <si>
    <t>35404-4959576-9</t>
  </si>
  <si>
    <t xml:space="preserve">House B-2 ghulam qadir street tariq road Sheikhupura </t>
  </si>
  <si>
    <t>03014544300</t>
  </si>
  <si>
    <t>raheelmughal4325@gmail.com</t>
  </si>
  <si>
    <t>https://drive.google.com/open?id=12VpNnDmKYGy5z5L5KznN87oejfTz7d0L</t>
  </si>
  <si>
    <t>https://drive.google.com/open?id=1iImgQD3G9ekKMkCJ4SxfwWMixlM1QO7q</t>
  </si>
  <si>
    <t>https://drive.google.com/open?id=1rcXKzfoE2KTJy2UFxbdnI_C6HnztWcuI</t>
  </si>
  <si>
    <t>https://drive.google.com/open?id=1FyNxqwv34-bxTqhLfq1GoEWvcBka8THz</t>
  </si>
  <si>
    <t>nabeel1421422@gmail.com</t>
  </si>
  <si>
    <t>03491421498</t>
  </si>
  <si>
    <t xml:space="preserve">Nabeel Ahmad Khan </t>
  </si>
  <si>
    <t xml:space="preserve">Abdul Qadoos Khan </t>
  </si>
  <si>
    <t xml:space="preserve">House no. 50-A, Street no. 2, Mohalla Masoodabad, Faisalabad </t>
  </si>
  <si>
    <t>03017013628</t>
  </si>
  <si>
    <t>03127032589</t>
  </si>
  <si>
    <t>https://drive.google.com/open?id=1vPYALN-djZWMw7isIU04LgaGDrZ_kJnh</t>
  </si>
  <si>
    <t>https://drive.google.com/open?id=1P-PnxhARV0eAiazhrc7D7gqfI9a9qZXG</t>
  </si>
  <si>
    <t>https://drive.google.com/open?id=1k2pBsUI1uyKxfHkT-Z_HF_HN1CqlPbNr</t>
  </si>
  <si>
    <t>https://drive.google.com/open?id=1hil0uVhY6uDL1rhDralMsfQiOm83obFt</t>
  </si>
  <si>
    <t>sarmad.nadeem1000@gmail.com</t>
  </si>
  <si>
    <t>0332-6610999</t>
  </si>
  <si>
    <t>Muhammad Sarmad</t>
  </si>
  <si>
    <t>Muhammad Nadeem</t>
  </si>
  <si>
    <t>33100-8324782-1</t>
  </si>
  <si>
    <t>House no 225-A, Muslim town 1,Faisalabad</t>
  </si>
  <si>
    <t>Samia Naeem</t>
  </si>
  <si>
    <t>0322-7511284</t>
  </si>
  <si>
    <t>https://drive.google.com/open?id=1UA585OS-iL-EzTSOI1-HQb1cRQhwezh5</t>
  </si>
  <si>
    <t>https://drive.google.com/open?id=1PmbFKDPlUKhpQyevxiP8WsY9UGuIm3u8</t>
  </si>
  <si>
    <t>https://drive.google.com/open?id=1dHigGFrYQdnYKGB7Uxuu2nfnp6U2cV3e</t>
  </si>
  <si>
    <t>https://drive.google.com/open?id=1fcUBU4uYrjr7FsyZbGEOloURzdb-8raT</t>
  </si>
  <si>
    <t>aligulo5936@gmail.com</t>
  </si>
  <si>
    <t>03334841606</t>
  </si>
  <si>
    <t xml:space="preserve">Ali Gulraiz </t>
  </si>
  <si>
    <t xml:space="preserve">Karamat Ali </t>
  </si>
  <si>
    <t xml:space="preserve">Bhikki road Sheikhupura </t>
  </si>
  <si>
    <t>03014544227</t>
  </si>
  <si>
    <t>kramatalinaz@gmail.com</t>
  </si>
  <si>
    <t>https://drive.google.com/open?id=1WjJkuO8iH9J4NywF2fko3FVmZmSDz3fJ</t>
  </si>
  <si>
    <t>https://drive.google.com/open?id=1qw2YTkudkr8InNzNC3QBIi8Fxg4Gm_uG</t>
  </si>
  <si>
    <t>https://drive.google.com/open?id=1m-CYA2f5P5QW5HvVK4ucbci4DzwxLFcl</t>
  </si>
  <si>
    <t>https://drive.google.com/open?id=14k4mSre_ico-wFKpE-gRTT-mNgq7uEir</t>
  </si>
  <si>
    <t>sohailtaha02@gmail.com</t>
  </si>
  <si>
    <t>03266296974</t>
  </si>
  <si>
    <t xml:space="preserve">Taha Sohail </t>
  </si>
  <si>
    <t xml:space="preserve">Muhammad Sohail Manzoor </t>
  </si>
  <si>
    <t xml:space="preserve">Chak no 202 rb Bhaiwala Faisalabad </t>
  </si>
  <si>
    <t>Open merit mbbs</t>
  </si>
  <si>
    <t>03006601101</t>
  </si>
  <si>
    <t>xohailmanzoorx@gmail.com</t>
  </si>
  <si>
    <t>https://drive.google.com/open?id=1lQuuwbmZUNYKcdMpk2wAVpB80C9ahUNh</t>
  </si>
  <si>
    <t>https://drive.google.com/open?id=15TrgKoDOBy-J6BCdlFO-MBMxwbpR1WCm</t>
  </si>
  <si>
    <t>https://drive.google.com/open?id=1R9oJNRJH-8mgBqaZ4imW3j-z5ZeqVb3m</t>
  </si>
  <si>
    <t>https://drive.google.com/open?id=1hy09FhXEOMZOOo3djAYQRqwxTN21ipio</t>
  </si>
  <si>
    <t>hussain444malik@gmail.com</t>
  </si>
  <si>
    <t>03105373024</t>
  </si>
  <si>
    <t>Hussain</t>
  </si>
  <si>
    <t xml:space="preserve">Ajaib Khan </t>
  </si>
  <si>
    <t xml:space="preserve">New Aziz Market, Nilore, Islamabad </t>
  </si>
  <si>
    <t xml:space="preserve">Mbbs </t>
  </si>
  <si>
    <t xml:space="preserve">Ajaib khan </t>
  </si>
  <si>
    <t>03315266580</t>
  </si>
  <si>
    <t>ajaibkhan05@gmail.com</t>
  </si>
  <si>
    <t>https://drive.google.com/open?id=1Gg_WlwPWJ8YIT4TOP0Po6lDYMfO4DSI0</t>
  </si>
  <si>
    <t>https://drive.google.com/open?id=17sZNXZ8NHoInizCg2nCVUyyjXmzq6NEk</t>
  </si>
  <si>
    <t>https://drive.google.com/open?id=1XgSzRqh0KcjZoj19BuutNsIxXvlpeSxn</t>
  </si>
  <si>
    <t>https://drive.google.com/open?id=1e_BZC53i5jQVcfTH0heqEi5-KMCmJ3Xx</t>
  </si>
  <si>
    <t>zaeemzafar1061@gmail.com</t>
  </si>
  <si>
    <t>03066308210</t>
  </si>
  <si>
    <t xml:space="preserve">Zaeem Ahmad </t>
  </si>
  <si>
    <t>Zafar ali</t>
  </si>
  <si>
    <t xml:space="preserve">Dak Khana Arifwala Chak no 71E. B tehsil Arifwala district pakpattan Punjab </t>
  </si>
  <si>
    <t>03076569771</t>
  </si>
  <si>
    <t>https://drive.google.com/open?id=1y0MSby_98t9sZy_BIzKoUiKxQU0iQqRo</t>
  </si>
  <si>
    <t>https://drive.google.com/open?id=14gsSeCKzt4OmADfcuO8ntqL82LV44rVX</t>
  </si>
  <si>
    <t>https://drive.google.com/open?id=1oWI6haNeAh7qL-btIZi3fV9wzcLKItUp</t>
  </si>
  <si>
    <t>https://drive.google.com/open?id=1sRREFqcqXai94PZYD0ahxbSJMLwIdVt9</t>
  </si>
  <si>
    <t>ranaameerhamza98@gmail.com</t>
  </si>
  <si>
    <t>03395055587</t>
  </si>
  <si>
    <t>AMEER HAMZA</t>
  </si>
  <si>
    <t xml:space="preserve">Muhammad Rizwan </t>
  </si>
  <si>
    <t xml:space="preserve">33104-2255361-7 </t>
  </si>
  <si>
    <t>house no.f2 new garden block saeed colony no.2, faisalabad, Pakistan</t>
  </si>
  <si>
    <t>Faiza Rizwan</t>
  </si>
  <si>
    <t>03447022202</t>
  </si>
  <si>
    <t>ranaameerhamza49@gmail.com</t>
  </si>
  <si>
    <t>https://drive.google.com/open?id=18z7IZf7q9zIR4ouCnlcbAM3H26rCk8JP</t>
  </si>
  <si>
    <t>https://drive.google.com/open?id=1fB7D6pbbSR69L2G5vIZdbmvAgubNUMRT</t>
  </si>
  <si>
    <t>https://drive.google.com/open?id=14gPOryLhTU_f0yV-SEdQysdGVRXTLpFA</t>
  </si>
  <si>
    <t>https://drive.google.com/open?id=1Z1Ke2oSg0E_1DjLf6x5FaG2FgAWjvCOC</t>
  </si>
  <si>
    <t>huzaifatahirop@gmail.com</t>
  </si>
  <si>
    <t>03214113819</t>
  </si>
  <si>
    <t>MUHAMMAD HUZAIFA TAHIR</t>
  </si>
  <si>
    <t>MUHAMMAD TAHIR NAVEED</t>
  </si>
  <si>
    <t>Chak no. 139+140/Murad P.O Same Tehsil Chishtian District Bahawalnagar</t>
  </si>
  <si>
    <t>03006983819</t>
  </si>
  <si>
    <t>tahirnaveed140@gmail.com</t>
  </si>
  <si>
    <t>https://drive.google.com/open?id=1erJUvOddkEiXRJzFdx_kAsnsA08BLvXu</t>
  </si>
  <si>
    <t>https://drive.google.com/open?id=1VF6BKhvGKEbk8Mirmj9V69rnjwOzsgHZ</t>
  </si>
  <si>
    <t>https://drive.google.com/open?id=1V5cAQgfGaAPivtTj-ymxInBHWyczJJ9b</t>
  </si>
  <si>
    <t>nabeelafatima548@gmail.com</t>
  </si>
  <si>
    <t>03007661685</t>
  </si>
  <si>
    <t xml:space="preserve">NABEELA FATIMA </t>
  </si>
  <si>
    <t xml:space="preserve">ALI SUBHANI </t>
  </si>
  <si>
    <t xml:space="preserve">224 Fateh Din, Mohallah Feroz Shah, Street 5/8, Faisalabad </t>
  </si>
  <si>
    <t>Ali Subhani</t>
  </si>
  <si>
    <t>03216628324</t>
  </si>
  <si>
    <t>alisubhani11@yahoo.com</t>
  </si>
  <si>
    <t>https://drive.google.com/open?id=105L0h4rXA_irb5KNa_ynPXjInK-smBfg</t>
  </si>
  <si>
    <t>https://drive.google.com/open?id=1gpFk2KPe6DHQcH797qvoNzpKX4-KvkUH</t>
  </si>
  <si>
    <t>https://drive.google.com/open?id=1riNj1Zctl-di5meN6Q-uHaQgIV6lirxq</t>
  </si>
  <si>
    <t>https://drive.google.com/open?id=1UATKLxnimg_HT2c8ZQK3akiFcoSeggs0</t>
  </si>
  <si>
    <t>animofarmopio@gmail.com</t>
  </si>
  <si>
    <t>aneesaaslam479@gmail.com</t>
  </si>
  <si>
    <t>03300799573</t>
  </si>
  <si>
    <t>Aneesa Aslam</t>
  </si>
  <si>
    <t>MUHAMMAD ASLAM</t>
  </si>
  <si>
    <t>House no Q 5/49 Mandi Town Bhakkar</t>
  </si>
  <si>
    <t>MBBA</t>
  </si>
  <si>
    <t xml:space="preserve">Muhammad Aslam </t>
  </si>
  <si>
    <t>03027979573</t>
  </si>
  <si>
    <t>ma1522534@gmail.com</t>
  </si>
  <si>
    <t>https://drive.google.com/open?id=1oojAsqXQ3F0cRHP_Oec1fY7eYop6445K</t>
  </si>
  <si>
    <t>https://drive.google.com/open?id=1juMjQJ8sQyPr6ch7eqX1zmRLzDX9jA55</t>
  </si>
  <si>
    <t>https://drive.google.com/open?id=15VTF_Yy1VnZVKX6m_7TF9FlEAKy7fJRm</t>
  </si>
  <si>
    <t>https://drive.google.com/open?id=1w4811Oq3xJt2A7QsRIkptht8RQVbYKQR</t>
  </si>
  <si>
    <t>hadiamalik5850@gmail.com</t>
  </si>
  <si>
    <t>03297419896</t>
  </si>
  <si>
    <t xml:space="preserve">HADIA MALIK </t>
  </si>
  <si>
    <t xml:space="preserve">Muhammad Boota </t>
  </si>
  <si>
    <t>33100-9428100-2</t>
  </si>
  <si>
    <t xml:space="preserve">Abbas park street No. 2 near simbal Chowk sant singh Wala Faisalabad </t>
  </si>
  <si>
    <t>03036267762</t>
  </si>
  <si>
    <t>hadiamalik4280@gmail.com</t>
  </si>
  <si>
    <t>https://drive.google.com/open?id=1VhUcz4eE88tygNABKqlsIxU-JGhNg8fg</t>
  </si>
  <si>
    <t>https://drive.google.com/open?id=1eS_rxif6YU3ePQQU6AcREYcbBs_uS3S5</t>
  </si>
  <si>
    <t>https://drive.google.com/open?id=1u0dl8wqfwNYQXtPBmvier4yKShObiw0M</t>
  </si>
  <si>
    <t>https://drive.google.com/open?id=1bNaNoELyZu4MkrLCuLnoHwXf33S2_Ms6</t>
  </si>
  <si>
    <t>sarwathussain9231@gmail.com</t>
  </si>
  <si>
    <t>03452967589</t>
  </si>
  <si>
    <t xml:space="preserve">Sarwat Hussain </t>
  </si>
  <si>
    <t xml:space="preserve">Muhammad Hussain </t>
  </si>
  <si>
    <t xml:space="preserve">Nibuwala P/O dullewala tehsil Darya khan district Bhakkar </t>
  </si>
  <si>
    <t>03457659231</t>
  </si>
  <si>
    <t>muhammadhussain9231.gmail.com</t>
  </si>
  <si>
    <t>https://drive.google.com/open?id=1kUF3qA82-0SoDJBNvObZScTKNNmyuwCt</t>
  </si>
  <si>
    <t>https://drive.google.com/open?id=1GySrlwaIQukZNbUwAHII0YmSRTNMiWLM</t>
  </si>
  <si>
    <t>https://drive.google.com/open?id=16QEsvk170iVj1HPH8L1DLicVjdFpz1i0</t>
  </si>
  <si>
    <t>https://drive.google.com/open?id=13zLWqLgZ_9UrOVuIs4sRPQqCT67UTv8D</t>
  </si>
  <si>
    <t>rhbmajid@gmail.com</t>
  </si>
  <si>
    <t>03366500819</t>
  </si>
  <si>
    <t xml:space="preserve">Rehab Majid </t>
  </si>
  <si>
    <t xml:space="preserve">Abdul Majid </t>
  </si>
  <si>
    <t>33100-0690147-6</t>
  </si>
  <si>
    <t xml:space="preserve">P-5 street 1 Douglas pura fsd </t>
  </si>
  <si>
    <t>03338971439</t>
  </si>
  <si>
    <t>amajid.21@gmail.com</t>
  </si>
  <si>
    <t>tariqlaiba422@gmail.com</t>
  </si>
  <si>
    <t>03106211066</t>
  </si>
  <si>
    <t xml:space="preserve">Laiba tariq </t>
  </si>
  <si>
    <t>Rana tariq javeed</t>
  </si>
  <si>
    <t>Mohalla jahan shah near railway station layyah</t>
  </si>
  <si>
    <t xml:space="preserve">Rana tariq javeed </t>
  </si>
  <si>
    <t>03078661066</t>
  </si>
  <si>
    <t>laibarajpoot450@gmail.com</t>
  </si>
  <si>
    <t>https://drive.google.com/open?id=16M26Q3L9xiqmaxPOQ-uuDiYvGW6qhTmk</t>
  </si>
  <si>
    <t>https://drive.google.com/open?id=1wU-1Bfa_A-lDVCOejouvzvkUhxFeAzDE</t>
  </si>
  <si>
    <t>https://drive.google.com/open?id=16bCmi-gIkMQ4f2pPETJXK2OSE58R8r0g</t>
  </si>
  <si>
    <t>https://drive.google.com/open?id=1QpLehFVS5gB7zOfeN_ilvVNPFltq0Leo</t>
  </si>
  <si>
    <t>ranahafizmehmood@gmail.com</t>
  </si>
  <si>
    <t>03311119215</t>
  </si>
  <si>
    <t>Rana Muhammad Mehmood Ahmad Khan</t>
  </si>
  <si>
    <t>Rana Muhammad Akram Khan</t>
  </si>
  <si>
    <t>P-182 Al-Najaf Colony Al-Mustafa Street Faisalabad</t>
  </si>
  <si>
    <t xml:space="preserve">Humara Rana </t>
  </si>
  <si>
    <t>03356094584</t>
  </si>
  <si>
    <t>humararana9@gmail.com</t>
  </si>
  <si>
    <t>https://drive.google.com/open?id=1xsea52Y040EzlmMQ9iq2mJx_NR1ZVI7-</t>
  </si>
  <si>
    <t>https://drive.google.com/open?id=1pA-H-zf3lns45ktXTmEAlE6QC9At-SEl</t>
  </si>
  <si>
    <t>https://drive.google.com/open?id=1ac7GYDvGHFcFGq2QVHAyO4L2Gp8Bqqvv</t>
  </si>
  <si>
    <t>https://drive.google.com/open?id=1qDFVwuxyAEVzW9r0kR9XLCFZChSoVpGJ</t>
  </si>
  <si>
    <t>ahmedsipra509@gmail.com</t>
  </si>
  <si>
    <t>03047251222</t>
  </si>
  <si>
    <t xml:space="preserve">Muhammad Ahmad Sipra </t>
  </si>
  <si>
    <t xml:space="preserve">Shoukat Ali </t>
  </si>
  <si>
    <t>33100-1808431-9</t>
  </si>
  <si>
    <t xml:space="preserve">130-F Block Millat Town Faisalabad </t>
  </si>
  <si>
    <t>03006657673</t>
  </si>
  <si>
    <t>shoukatsipra23@gmail.com</t>
  </si>
  <si>
    <t>https://drive.google.com/open?id=1mpgGCf7maqAhjcKAIbrGpO88eINshhwu</t>
  </si>
  <si>
    <t>https://drive.google.com/open?id=1_QizD4BQUixId8rbNCuASOp5iVLCL2mR</t>
  </si>
  <si>
    <t>https://drive.google.com/open?id=1oWEFgiiCdoDe6Jac1F46A4LFUt4WYvbw</t>
  </si>
  <si>
    <t>https://drive.google.com/open?id=11bCSaBs7TiTjM2vrwebqo538SdmAAc_0</t>
  </si>
  <si>
    <t>hafsaamjad2002@gmail.com</t>
  </si>
  <si>
    <t>03431653343</t>
  </si>
  <si>
    <t xml:space="preserve">HAFSA AMJAD </t>
  </si>
  <si>
    <t>AMJAD ALI</t>
  </si>
  <si>
    <t xml:space="preserve">Bismillah park street number 2 base line narhwala road Faisalabad </t>
  </si>
  <si>
    <t xml:space="preserve">AMJAD ALI </t>
  </si>
  <si>
    <t>03006640501</t>
  </si>
  <si>
    <t>hamdamehmood51@gmail.com</t>
  </si>
  <si>
    <t>hamdadar076@gmail.com</t>
  </si>
  <si>
    <t>03019564081</t>
  </si>
  <si>
    <t xml:space="preserve">Hamda Mahmood </t>
  </si>
  <si>
    <t xml:space="preserve">Yasir Mahmood </t>
  </si>
  <si>
    <t>33102-5977891-8</t>
  </si>
  <si>
    <t xml:space="preserve">Ayub colony#1, St#3, House#P-160, Jhang road, Faisalabad </t>
  </si>
  <si>
    <t>Yasir Mahmood</t>
  </si>
  <si>
    <t>03218339685</t>
  </si>
  <si>
    <t>https://drive.google.com/open?id=1nOhAGG85lmJW9poCyBaoYE4EcXlR6ktf</t>
  </si>
  <si>
    <t>https://drive.google.com/open?id=1s--H-awWrbmxy--3kwTV7hHXOgZyT81w</t>
  </si>
  <si>
    <t>https://drive.google.com/open?id=1n6r4_XsqluijoUhO8JY2zUC12Y5LeSWU</t>
  </si>
  <si>
    <t>https://drive.google.com/open?id=1SUEwqQkx8Yd-cR5aMVEvU7vjgA5HiPNx</t>
  </si>
  <si>
    <t>ahmadopytkjj@gmail.com</t>
  </si>
  <si>
    <t>03202468585</t>
  </si>
  <si>
    <t>Adil Maqsood</t>
  </si>
  <si>
    <t>Maqsood Anwar</t>
  </si>
  <si>
    <t>33102-5822855-5</t>
  </si>
  <si>
    <t xml:space="preserve">110-B Gulshin e hayat A.B.C road fsd </t>
  </si>
  <si>
    <t xml:space="preserve">Maqsood Anwar </t>
  </si>
  <si>
    <t>03006638683</t>
  </si>
  <si>
    <t>https://drive.google.com/open?id=18huTGTHZuSgiaD21gBhwMcdFgKZaj0GF</t>
  </si>
  <si>
    <t>https://drive.google.com/open?id=1izCvv5TEPgws9Z5qfiCeBzSD7dDm8yPq</t>
  </si>
  <si>
    <t>https://drive.google.com/open?id=1zHTXed3EoeuODc5_kNGaAgk6BUWRyI6f</t>
  </si>
  <si>
    <t>https://drive.google.com/open?id=1dInuG4XDyQNiOpMnYW2bwrgY8cz0T0LG</t>
  </si>
  <si>
    <t>afafnaeem0@gmail.com</t>
  </si>
  <si>
    <t>03137991099</t>
  </si>
  <si>
    <t>Afaf</t>
  </si>
  <si>
    <t>Muhammad naeem</t>
  </si>
  <si>
    <t>33102-1333226-0</t>
  </si>
  <si>
    <t>74-A,officers colony no 2 ,madina town ,khuram chowk ,fsd</t>
  </si>
  <si>
    <t>Naeem</t>
  </si>
  <si>
    <t>03007991099</t>
  </si>
  <si>
    <t>muhammadnaeendr@yahoo.com</t>
  </si>
  <si>
    <t>yousafnawaz96@gmail.com</t>
  </si>
  <si>
    <t>03047874782</t>
  </si>
  <si>
    <t>Muhammad Yousaf Nawaz</t>
  </si>
  <si>
    <t>Muhammad Nawaz</t>
  </si>
  <si>
    <t>Chak Dhuddiyan,P/O Shahpur Shareef, Tehsil Hasilpur , District Bahawalpur</t>
  </si>
  <si>
    <t>03007852735</t>
  </si>
  <si>
    <t>nawaz3731@gmail.com</t>
  </si>
  <si>
    <t>https://drive.google.com/open?id=1LL5zkXyfSfORfxMjvSdDjX05h3m6tuOl</t>
  </si>
  <si>
    <t>https://drive.google.com/open?id=1HVdS6ubjLwkihmnPJeIvVpnut1ALLNL_</t>
  </si>
  <si>
    <t>https://drive.google.com/open?id=15fLfiO9pgux2R6WYK2XqQQ-mvZZ5Lyl6</t>
  </si>
  <si>
    <t>https://drive.google.com/open?id=15VA9drf_1DQ9vWe4nCpsmXq5yMJHl1VG</t>
  </si>
  <si>
    <t>muz.hassan194@gmail.com</t>
  </si>
  <si>
    <t>hassantajammul35@gmail.com</t>
  </si>
  <si>
    <t xml:space="preserve">0321 1841580 </t>
  </si>
  <si>
    <t xml:space="preserve">Muhammad Muzamil Hassan </t>
  </si>
  <si>
    <t xml:space="preserve">Muhammad Tajammul Chaudhry </t>
  </si>
  <si>
    <t xml:space="preserve">35202-3458759-1 </t>
  </si>
  <si>
    <t>House no 27 Muqaddas park gulshan e ravi Lahore</t>
  </si>
  <si>
    <t>03218886970</t>
  </si>
  <si>
    <t>https://drive.google.com/open?id=1P67thn4IvK6i91yE0_-yzfQ-JVmIczHs</t>
  </si>
  <si>
    <t>https://drive.google.com/open?id=1TLU1PgaEm3q5Hk0BkFtdDdkkdqdCGgIP</t>
  </si>
  <si>
    <t>https://drive.google.com/open?id=1Gyh-J5j4c_Xs9V5UamKU_maqA-TwU-eS</t>
  </si>
  <si>
    <t>https://drive.google.com/open?id=1GoPVU9hgwcClgXVpVBrilgXCjHXV35sL</t>
  </si>
  <si>
    <t>tayyaban1060@gmail.com</t>
  </si>
  <si>
    <t>03090091115</t>
  </si>
  <si>
    <t xml:space="preserve">Tayyab Anwar </t>
  </si>
  <si>
    <t>Anwar Ali</t>
  </si>
  <si>
    <t>36104-0281610-7</t>
  </si>
  <si>
    <t>Chak no. 115/15L tehsil Mian channu district khanewal</t>
  </si>
  <si>
    <t xml:space="preserve">Anwar Ali </t>
  </si>
  <si>
    <t>03057389850</t>
  </si>
  <si>
    <t>anwarali11515l@gmail.com</t>
  </si>
  <si>
    <t>https://drive.google.com/open?id=1_X3R2V1zNT9yYPRJNZeRd8_5l0dQoZ_b</t>
  </si>
  <si>
    <t>https://drive.google.com/open?id=1-2D3gQZkjNaLv2666c13MJqMfiBiaYCv</t>
  </si>
  <si>
    <t>https://drive.google.com/open?id=1Wup33PRn3n3XkgdFOimXqj1MGz5KuX3J</t>
  </si>
  <si>
    <t>https://drive.google.com/open?id=1pewMeY-UfnjMniuKKtvQQ2ev_yWqoUde</t>
  </si>
  <si>
    <t>abeehazakria30@gmail.com</t>
  </si>
  <si>
    <t>03217583910</t>
  </si>
  <si>
    <t xml:space="preserve">Abeeha Fatima </t>
  </si>
  <si>
    <t xml:space="preserve">Muhammad Zakria </t>
  </si>
  <si>
    <t xml:space="preserve">Shahbaz Town, 114-B, Jhang Road, Faisalabad </t>
  </si>
  <si>
    <t>03007656554</t>
  </si>
  <si>
    <t>zakriagsk@yahoo.com</t>
  </si>
  <si>
    <t>https://drive.google.com/open?id=1nqJ85GFQUnhmULCmjDWqXMv8b8Zdd2f1</t>
  </si>
  <si>
    <t>https://drive.google.com/open?id=1SbJFfjBKJiCMI9YuHgDu97RtijQJ96dK</t>
  </si>
  <si>
    <t>https://drive.google.com/open?id=1D2JMRzlUmYwMOPOuL8BH8asl5Mlm2sHb</t>
  </si>
  <si>
    <t>https://drive.google.com/open?id=1b8dTRkKLfYEd1WDiJt2tOADKMU97KXq3</t>
  </si>
  <si>
    <t>muhammadhuzefa1056@gmail.com</t>
  </si>
  <si>
    <t>03067489435</t>
  </si>
  <si>
    <t>Muhammad Huzefa</t>
  </si>
  <si>
    <t>Mazhar Hussain</t>
  </si>
  <si>
    <t>36302-1043250-7</t>
  </si>
  <si>
    <t>P/O Sher Garh Moza Shamman, Tehsil Mailsi, District Vehari</t>
  </si>
  <si>
    <t xml:space="preserve">Mazhar Hussain </t>
  </si>
  <si>
    <t>03007340386</t>
  </si>
  <si>
    <t>hussainmazhar0227@gmail.com</t>
  </si>
  <si>
    <t>https://drive.google.com/open?id=1I74D2GmGf4iNNpF2cqt5xx5dbMK2laYK</t>
  </si>
  <si>
    <t>https://drive.google.com/open?id=124klt5hmB3qE23aS_P8AErmK6cwGxLZi</t>
  </si>
  <si>
    <t>https://drive.google.com/open?id=19D-d8-GC5rSgmdYYXFz9U2USJKZuSSY4</t>
  </si>
  <si>
    <t>https://drive.google.com/open?id=1ovDLQWyo4BEigVG8-igr6zauXeX657Rg</t>
  </si>
  <si>
    <t>imann.fatima5@gmail.com</t>
  </si>
  <si>
    <t>03083447406</t>
  </si>
  <si>
    <t>Iman Fatima</t>
  </si>
  <si>
    <t>Muhammad Yasir Rafique</t>
  </si>
  <si>
    <t>Kehkshan colony no. 2 vip block house no. 10 jaranwala road Faisalabad</t>
  </si>
  <si>
    <t>03006616575</t>
  </si>
  <si>
    <t>yasir.rafique@gmail.com</t>
  </si>
  <si>
    <t>https://drive.google.com/open?id=1zLDDO_6MQ5eiMPr_Teq_dLxeGjqN5PgK</t>
  </si>
  <si>
    <t>https://drive.google.com/open?id=1U207Zq4tFJGtzSGizlqi8mohxFKya7RR</t>
  </si>
  <si>
    <t>https://drive.google.com/open?id=16eDlRzK3o3nheGhdV9c9chKNP8lnrPsd</t>
  </si>
  <si>
    <t>https://drive.google.com/open?id=1J3OMArf2_xM-sv-WF78ic758uo9laYs3</t>
  </si>
  <si>
    <t>07daniyalsajid@gmail.com</t>
  </si>
  <si>
    <t>03006969024</t>
  </si>
  <si>
    <t>Daniyal Sajid</t>
  </si>
  <si>
    <t>Sajid Iqbal</t>
  </si>
  <si>
    <t>House No. 8, St No. 2, Y Block, Govt Colony Okara</t>
  </si>
  <si>
    <t>03226991138</t>
  </si>
  <si>
    <t>doaaba@gmail.com</t>
  </si>
  <si>
    <t>https://drive.google.com/open?id=1u9AZobjy3HYfY1E93veJmrBP6wrmA4eu</t>
  </si>
  <si>
    <t>https://drive.google.com/open?id=1ldTfRciyPn6ao3elLVeKeZFS9ylNlRu6</t>
  </si>
  <si>
    <t>https://drive.google.com/open?id=1LmVhlieKHAKui47GmDcXs8K0a-GG2XR9</t>
  </si>
  <si>
    <t>https://drive.google.com/open?id=1mUNM7TBZNjCRRGpLpWNWyPfrdVswq4n6</t>
  </si>
  <si>
    <t>amnamuqaddus@gmail.com</t>
  </si>
  <si>
    <t>03174498724</t>
  </si>
  <si>
    <t xml:space="preserve">Amna Muqaddus </t>
  </si>
  <si>
    <t xml:space="preserve">Abdul Razzaq Mughal </t>
  </si>
  <si>
    <t>34601-5140106-8</t>
  </si>
  <si>
    <t xml:space="preserve">P-10 , FIC RESIDENTIAL COLONY, CIVIL LINES , FAISALABAD INSTITUTE OF CARDIOLOGY, FAISALABAD </t>
  </si>
  <si>
    <t>03219668229</t>
  </si>
  <si>
    <t>a.razzaq.cs@gmail.com</t>
  </si>
  <si>
    <t>https://drive.google.com/open?id=18syQFsiCBTMxDRsfN8-j3Ex2oW3MLnla</t>
  </si>
  <si>
    <t>https://drive.google.com/open?id=18cP67QD-rVdKug-oxaqrCtkcnAKFlyfh</t>
  </si>
  <si>
    <t>https://drive.google.com/open?id=1_K4MuhJcfM3C2Y9qYz8bXAVtgDmKGHca</t>
  </si>
  <si>
    <t>https://drive.google.com/open?id=1xIJQclWs3oSbcLy4tRzSf9gWnQu7xN1x</t>
  </si>
  <si>
    <t>muhammadayanawais21@gmail.com</t>
  </si>
  <si>
    <t>03094805994</t>
  </si>
  <si>
    <t xml:space="preserve">Muhammad Ayan Awais </t>
  </si>
  <si>
    <t xml:space="preserve">Muhammad Awais Chaudhary </t>
  </si>
  <si>
    <t>House No 2-B Commercial Sher Shah Colony Raiwind Road Lahore</t>
  </si>
  <si>
    <t>03064256310</t>
  </si>
  <si>
    <t>mohammadawaisch@gmail.com</t>
  </si>
  <si>
    <t>https://drive.google.com/open?id=1n1RiOKjqjFdy1ris1MRcyT_imEdQCYdY</t>
  </si>
  <si>
    <t>https://drive.google.com/open?id=1ONluEtXKHnpOgOUrDWXDgNalYZmVr8Cn</t>
  </si>
  <si>
    <t>https://drive.google.com/open?id=1V7AH1zwA6EfC7CMSWvv5avWtfsTSuN9f</t>
  </si>
  <si>
    <t>https://drive.google.com/open?id=1WOFc7GpYMpg-VLhx9gJ6WtXreISzoq2f</t>
  </si>
  <si>
    <t>javeria.khalil2001@gmail.com</t>
  </si>
  <si>
    <t>03187103344</t>
  </si>
  <si>
    <t>Javeria Khalil</t>
  </si>
  <si>
    <t>Khalil Ullah</t>
  </si>
  <si>
    <t>Nigheban pura Block C street no 3 house no p1292, Faisalabad.</t>
  </si>
  <si>
    <t>Samina Shaheen</t>
  </si>
  <si>
    <t>03067158660</t>
  </si>
  <si>
    <t>hannanbutt45@gmail.com</t>
  </si>
  <si>
    <t>Abdullahbutt34567@gmail.com</t>
  </si>
  <si>
    <t>03259965277</t>
  </si>
  <si>
    <t>Muhammad Abdullah Butt</t>
  </si>
  <si>
    <t>Muhammad Saleem Butt</t>
  </si>
  <si>
    <t>House number 176 Tufail road  lahore Cantt</t>
  </si>
  <si>
    <t>Shahida parveen butt</t>
  </si>
  <si>
    <t>03064136159</t>
  </si>
  <si>
    <t>Shahidaparveenbutt1@gmail.com</t>
  </si>
  <si>
    <t>https://drive.google.com/open?id=1UjIPaumJcd_GXCDMfYzqpQiMRHE0KSh0</t>
  </si>
  <si>
    <t>https://drive.google.com/open?id=1R4aRkM0dREEMJ-30eHHgmjksRv5RgXGx</t>
  </si>
  <si>
    <t>https://drive.google.com/open?id=1TvnHjaE9PGuukePVUKUw4HGKVf54cnzF</t>
  </si>
  <si>
    <t>https://drive.google.com/open?id=1Kdc8TvTpS-6dYCGKyZAw_pmwo5hdswQp</t>
  </si>
  <si>
    <t>f6514225@gmail.com</t>
  </si>
  <si>
    <t xml:space="preserve">F6514225@gmail.com </t>
  </si>
  <si>
    <t xml:space="preserve">0320-8329532 </t>
  </si>
  <si>
    <t xml:space="preserve">Fareeha </t>
  </si>
  <si>
    <t>Muhammad Ashraf</t>
  </si>
  <si>
    <t xml:space="preserve">33100-3181871-4 </t>
  </si>
  <si>
    <t>House no 113 M Block burewala</t>
  </si>
  <si>
    <t>Brother</t>
  </si>
  <si>
    <t>03090537280</t>
  </si>
  <si>
    <t>muhammadasifumair37@gmail.com</t>
  </si>
  <si>
    <t>https://drive.google.com/open?id=1W-Rgxja9TFB0jLmAp_zHigo5FLn4L1AJ</t>
  </si>
  <si>
    <t>https://drive.google.com/open?id=1nnTJ4lnqut0gG7hOQ5eQNWMz_46MTd6E</t>
  </si>
  <si>
    <t>https://drive.google.com/open?id=1wuwtIDG1ftJAvez5EPYJnBf0KFZN-9u8</t>
  </si>
  <si>
    <t>https://drive.google.com/open?id=1nYaLDZqBFqNGv428lKg7RkaZ0Jo8Dq_0</t>
  </si>
  <si>
    <t>abdullaharshadtebrw2@gmail.com</t>
  </si>
  <si>
    <t>03256999297</t>
  </si>
  <si>
    <t>Muhammad Arshad</t>
  </si>
  <si>
    <t>36601-5389288-1</t>
  </si>
  <si>
    <t>Chak No 297 E/B Tehsil Burewala District Vehari</t>
  </si>
  <si>
    <t>03006993297</t>
  </si>
  <si>
    <t>abdullahhasnat49@gmail.com</t>
  </si>
  <si>
    <t>https://drive.google.com/open?id=1sz-ZhYDMUZfAAdoHyfJjOJFBAeJT4N36</t>
  </si>
  <si>
    <t>https://drive.google.com/open?id=1GodmR3NyjjA_KvSBJjOgE9SbWcWHkZz0</t>
  </si>
  <si>
    <t>hussainnazir5488@gmail.com</t>
  </si>
  <si>
    <t>03706539616</t>
  </si>
  <si>
    <t xml:space="preserve">Hafiz Abdul Moeed </t>
  </si>
  <si>
    <t xml:space="preserve">Nazir Hussain </t>
  </si>
  <si>
    <t>36601-0289169-7</t>
  </si>
  <si>
    <t xml:space="preserve">Chungi bazaar Mujahid colony street no 10 Burewala District Vehari </t>
  </si>
  <si>
    <t>03327205488</t>
  </si>
  <si>
    <t>nazirhussain5488@gmail.com</t>
  </si>
  <si>
    <t>https://drive.google.com/open?id=17SvNrBWqeaJZMl8I21YXQHYisLbSbS_G</t>
  </si>
  <si>
    <t>https://drive.google.com/open?id=1E4hRW--X_8-_AKnbOnpAwB38ncPOy9De</t>
  </si>
  <si>
    <t>https://drive.google.com/open?id=18wKV9tKM8lDodaZE9C0oENhAStvz6aRG</t>
  </si>
  <si>
    <t>https://drive.google.com/open?id=1jykOjywNmxXbJgbCAkSxJOiw8jj9Waow</t>
  </si>
  <si>
    <t>mahamimtiaz267@gmail.com</t>
  </si>
  <si>
    <t>03301267214</t>
  </si>
  <si>
    <t xml:space="preserve">Maham Imtiaz </t>
  </si>
  <si>
    <t xml:space="preserve">Imtiaz Hussain </t>
  </si>
  <si>
    <t xml:space="preserve">38102-6578256-2 </t>
  </si>
  <si>
    <t>Ibrahim town bhakkar</t>
  </si>
  <si>
    <t>03337215721</t>
  </si>
  <si>
    <t>imtiazhussainddo@gmail.com</t>
  </si>
  <si>
    <t>https://drive.google.com/open?id=15BmHQZCpJxaGetcR7lImCsl9_Ogjp3Gq</t>
  </si>
  <si>
    <t>https://drive.google.com/open?id=1A9xZaMl0vehhQTKF4fKVRWXb8i4YNvv3</t>
  </si>
  <si>
    <t>https://drive.google.com/open?id=1wm8b-h7PJkeE4Myv6e3edyY3fDdswvlm</t>
  </si>
  <si>
    <t>https://drive.google.com/open?id=1C6CfHg8zXKtusqCnKyEG797EAZr8OMvb</t>
  </si>
  <si>
    <t>arfakhubaib319@gmail.com</t>
  </si>
  <si>
    <t>03289084272</t>
  </si>
  <si>
    <t>Arfa Khubaib</t>
  </si>
  <si>
    <t xml:space="preserve">Muhammad Khubaib Alam </t>
  </si>
  <si>
    <t xml:space="preserve">33102-1912948-8 </t>
  </si>
  <si>
    <t xml:space="preserve">House no. 158 E block Millat Town Faisalabad </t>
  </si>
  <si>
    <t>03039766478</t>
  </si>
  <si>
    <t>farahn723@gmail.com</t>
  </si>
  <si>
    <t>https://drive.google.com/open?id=1x7uScZFQkR8KPKWWFW0TwL_dBBG0dwv7</t>
  </si>
  <si>
    <t>https://drive.google.com/open?id=1y1ydnjBWbZVRb8NobDF2Waa_7oJGKAw4</t>
  </si>
  <si>
    <t>https://drive.google.com/open?id=1xRSrQhlleer-gEmtzidFmKBK29JFQ-yn</t>
  </si>
  <si>
    <t>https://drive.google.com/open?id=164jQiXYKK9RxnbARyw3lAo9Lr3Qk0unr</t>
  </si>
  <si>
    <t>ihtishamakram58@gmail.com</t>
  </si>
  <si>
    <t>03710604728</t>
  </si>
  <si>
    <t>Ihtisham Akram</t>
  </si>
  <si>
    <t>Muhammad Akram</t>
  </si>
  <si>
    <t>House no.223 Mohallah Garden Town Toba Tek Singh</t>
  </si>
  <si>
    <t>03004069212</t>
  </si>
  <si>
    <t>akram36161@gmail.com</t>
  </si>
  <si>
    <t>https://drive.google.com/open?id=1pMG8i7LjcnAnSaTKzsgU5gyvQdF9kRuK</t>
  </si>
  <si>
    <t>https://drive.google.com/open?id=1mjW9Az56zO0CwDGfl_DhrkZhpx0kTILQ</t>
  </si>
  <si>
    <t>https://drive.google.com/open?id=1heh3WfIWsugXWiBuZG0grb43fprm72Ra</t>
  </si>
  <si>
    <t>https://drive.google.com/open?id=1UwoHRaEqUeH8ksn8RXA5q94bYqIkCHWa</t>
  </si>
  <si>
    <t>noor.mustafa1063@gmail.com</t>
  </si>
  <si>
    <t>03238682632</t>
  </si>
  <si>
    <t xml:space="preserve">Noor Mustafa </t>
  </si>
  <si>
    <t xml:space="preserve">Jabbar Ahmad </t>
  </si>
  <si>
    <t xml:space="preserve">Chak no. 15 N.B.Tehsil Bhalwal District Sargodha </t>
  </si>
  <si>
    <t>03006060072</t>
  </si>
  <si>
    <t>jabbarahmad6060072@gmail.com</t>
  </si>
  <si>
    <t>https://drive.google.com/open?id=1iXFXOMXLInFjIarpl_nPSjI8fQoFzBdN</t>
  </si>
  <si>
    <t>https://drive.google.com/open?id=1y4p7vX4Pk6geRCvZ8U8nENVutTV7FX9_</t>
  </si>
  <si>
    <t>https://drive.google.com/open?id=1E6uSQWGYJL0jQNnTIAeRNYzMt_GXqUwT</t>
  </si>
  <si>
    <t>https://drive.google.com/open?id=1vb3nuUq-osqGOFt3d4rNQNe-GGEpmo55</t>
  </si>
  <si>
    <t>kinzamubashir67@gmail.com</t>
  </si>
  <si>
    <t xml:space="preserve">kinzamubashir67@gmail.com </t>
  </si>
  <si>
    <t>03270669738</t>
  </si>
  <si>
    <t>Kinza Mubashir</t>
  </si>
  <si>
    <t>M.Mubashir Maqbool</t>
  </si>
  <si>
    <t>33100-1397416-2</t>
  </si>
  <si>
    <t xml:space="preserve">P 112/17A Al-fiaz colony Faisalabad </t>
  </si>
  <si>
    <t>03226053778</t>
  </si>
  <si>
    <t>mianmubashir780@gmail.com</t>
  </si>
  <si>
    <t>rabiyanisar143@gmail.com</t>
  </si>
  <si>
    <t>03477987099</t>
  </si>
  <si>
    <t xml:space="preserve">Rabiya Fatima </t>
  </si>
  <si>
    <t xml:space="preserve">Firdous Anjum </t>
  </si>
  <si>
    <t xml:space="preserve">Chak no. 143 EB Arifwala, district pakpattan </t>
  </si>
  <si>
    <t xml:space="preserve">Mother </t>
  </si>
  <si>
    <t>03014954812</t>
  </si>
  <si>
    <t>firdousanjum143eb@mail.com</t>
  </si>
  <si>
    <t>https://drive.google.com/open?id=1YG_8gHWBswwMXYVUyx8d38SzRIrB2i3Z</t>
  </si>
  <si>
    <t>https://drive.google.com/open?id=1iL1ZKafcQiSyXAGRLEgohjjb172UZkOa</t>
  </si>
  <si>
    <t>https://drive.google.com/open?id=1BnaR3B-bZC22Uaypg5u5Zyj2R0pPnEhy</t>
  </si>
  <si>
    <t>https://drive.google.com/open?id=1Gfp2McnJSNCFUQNoQGM2dU9SLMPcterN</t>
  </si>
  <si>
    <t>sami758676@gmail.com</t>
  </si>
  <si>
    <t>hurookhan80@gmail.com</t>
  </si>
  <si>
    <t>03174047701</t>
  </si>
  <si>
    <t>Habib Ullah</t>
  </si>
  <si>
    <t>Samina Naz</t>
  </si>
  <si>
    <t>Basti darkan wala p\o box Karim dad Qureshi Gul Qaim Mastoi tehsil and district Muzaffaar garh</t>
  </si>
  <si>
    <t>03156027713</t>
  </si>
  <si>
    <t>habibullahkhan5442211@gmail.com</t>
  </si>
  <si>
    <t>https://drive.google.com/open?id=1AkzV7vf3ywk_sSPOFR6Zdd51xjrZEwBW</t>
  </si>
  <si>
    <t>https://drive.google.com/open?id=1p7M5ZRJw4oeFt7AfMMgpwGjSLO2vYino</t>
  </si>
  <si>
    <t>https://drive.google.com/open?id=1ulUaG1k-jjnhH_0jW-Gv_J0vCtGi0soW</t>
  </si>
  <si>
    <t>https://drive.google.com/open?id=1cgEcREWcaIPy9IxkRBXTGG5OaDiYrzh1</t>
  </si>
  <si>
    <t>midhatfatimabajwa@gmail.com</t>
  </si>
  <si>
    <t>03356626330</t>
  </si>
  <si>
    <t xml:space="preserve">Midhat Fatima </t>
  </si>
  <si>
    <t xml:space="preserve">Muhammad Shahbaz Bajwa </t>
  </si>
  <si>
    <t>33100-1210927-6</t>
  </si>
  <si>
    <t xml:space="preserve">P-368, street no.4, mustafabad, Sargodha road, Faisalabad </t>
  </si>
  <si>
    <t>03006626330</t>
  </si>
  <si>
    <t>msbajva@gmail.com</t>
  </si>
  <si>
    <t>https://drive.google.com/open?id=1lwy4GJ7rV0uB6ccZwVW1uAFRUMedZa93</t>
  </si>
  <si>
    <t>https://drive.google.com/open?id=1Gw8eqpQR4HKyUgpHwypl5LzlcHAhvSIC</t>
  </si>
  <si>
    <t>https://drive.google.com/open?id=1wyWG0-SMwz8YBAP5wULGGa2MRkXk12xt</t>
  </si>
  <si>
    <t>https://drive.google.com/open?id=1alnMNk8Nmovc-fDmrl5m2sUy09xttF4p</t>
  </si>
  <si>
    <t>sohaibmuhammad650@gmail.com</t>
  </si>
  <si>
    <t>03278390720</t>
  </si>
  <si>
    <t>Muhammad Sohaib</t>
  </si>
  <si>
    <t>Sarfraz Ahmad</t>
  </si>
  <si>
    <t>33100-5831482-3</t>
  </si>
  <si>
    <t xml:space="preserve">340-B Gulistan Colony.2 Faisalabad </t>
  </si>
  <si>
    <t xml:space="preserve">Sarfraz Ahmad </t>
  </si>
  <si>
    <t>03007633202</t>
  </si>
  <si>
    <t>ahmadsarfraz93@yahoo.com</t>
  </si>
  <si>
    <t>https://drive.google.com/open?id=1a1h63WcGylLqso2jBvhe3DaTcqWUvWso</t>
  </si>
  <si>
    <t>https://drive.google.com/open?id=1ucs_nia8AZLA_9maO8Mn5-Qyv9pNUG4Y</t>
  </si>
  <si>
    <t>https://drive.google.com/open?id=1AE8FlN-R7yqRepnT2Q4Cu2WylkCuAVJ7</t>
  </si>
  <si>
    <t>https://drive.google.com/open?id=1_NdIyGTryYyXjg605OvSwj5N9sfpb6We</t>
  </si>
  <si>
    <t>tahirgill773@gmail.com</t>
  </si>
  <si>
    <t>03424672052</t>
  </si>
  <si>
    <t>Muhammad Mahad</t>
  </si>
  <si>
    <t>Tahir Pervez</t>
  </si>
  <si>
    <t>33103-3563057-5</t>
  </si>
  <si>
    <t>Post Office 111JB, Chak No. 112 JB Kharalwala, Tehsil Faisalabad Saddar, District Faisalabad</t>
  </si>
  <si>
    <t>03016046221</t>
  </si>
  <si>
    <t>secretlife773@gmail.com</t>
  </si>
  <si>
    <t>https://drive.google.com/open?id=1L2ADzyibs2ai3WwaehfkwbofX1qX90kK</t>
  </si>
  <si>
    <t>https://drive.google.com/open?id=1ZTS77otmMfdEmhVrYQmM9fZZlwMSr6MX</t>
  </si>
  <si>
    <t>https://drive.google.com/open?id=1RxwpN_LFkxW00yvz7S-6ptSPUxJnbiwQ</t>
  </si>
  <si>
    <t>https://drive.google.com/open?id=1uFkAXb85DmJiCp9cUxqXePieYcppyZAh</t>
  </si>
  <si>
    <t>opp575463@gmail.com</t>
  </si>
  <si>
    <t>muf036@gmail.com</t>
  </si>
  <si>
    <t>03075346884</t>
  </si>
  <si>
    <t xml:space="preserve">Muhammad Umer Farooq </t>
  </si>
  <si>
    <t xml:space="preserve">Muhammad Riaz </t>
  </si>
  <si>
    <t xml:space="preserve">Riaz House Rahber Colony HMC Road, Taxila, Rawalpindi </t>
  </si>
  <si>
    <t>03123101456</t>
  </si>
  <si>
    <t>alnoor3410@gmail.com</t>
  </si>
  <si>
    <t>https://drive.google.com/open?id=1rhM3Q6gtd7ZQcKUtfP2hpMxCJXkmqxdJ</t>
  </si>
  <si>
    <t>https://drive.google.com/open?id=1_xBHo-vbb8byVTQtBWBbkLS0vTNNYdX_</t>
  </si>
  <si>
    <t>https://drive.google.com/open?id=1zOUyqSZJFZt9nzbx4QKtselCIwe_U3ap</t>
  </si>
  <si>
    <t>https://drive.google.com/open?id=1rVuI0F195gdgcBQtVSBEO0pICZtIyh7R</t>
  </si>
  <si>
    <t>gujjarosama22@gmail.com</t>
  </si>
  <si>
    <t>a42264258@gmail.com</t>
  </si>
  <si>
    <t>03096362527</t>
  </si>
  <si>
    <t>Asma</t>
  </si>
  <si>
    <t>Muhammad Sarwar</t>
  </si>
  <si>
    <t>33105-6456209-6</t>
  </si>
  <si>
    <t xml:space="preserve">Chak no 478 G.B samundari district Faisalabad </t>
  </si>
  <si>
    <t xml:space="preserve">Muhammad Sarwar </t>
  </si>
  <si>
    <t>03037716478</t>
  </si>
  <si>
    <t>https://drive.google.com/open?id=1_fY7ZpBF7KGXOqA8Jv0JMQoB87xXpBYr</t>
  </si>
  <si>
    <t>https://drive.google.com/open?id=1AzV6rXRLlLnXWAC76TcVxrfZGqPvfFCa</t>
  </si>
  <si>
    <t>https://drive.google.com/open?id=1iqE2gCDQmqDSs2scHmhDAJBZR5GlP10l</t>
  </si>
  <si>
    <t>https://drive.google.com/open?id=1VVTi6aL1ae4WOvoC36kBZaDgWMfh2C0k</t>
  </si>
  <si>
    <t>nidaishtiaq53@gmail.com</t>
  </si>
  <si>
    <t>03276032732</t>
  </si>
  <si>
    <t>Nida Ishtiaq</t>
  </si>
  <si>
    <t>Ishtiaq Ahmad</t>
  </si>
  <si>
    <t>35501-0449662-6</t>
  </si>
  <si>
    <t>Iftikhar colony Shahkot ward no 6</t>
  </si>
  <si>
    <t>03434986939</t>
  </si>
  <si>
    <t>https://drive.google.com/open?id=1eQGwgwax4RGsIjBebcdhYQz_M-Ev6B-B</t>
  </si>
  <si>
    <t>https://drive.google.com/open?id=1TImS4yQi0bPNWP_IFksCM0pnJ_2i45GD</t>
  </si>
  <si>
    <t>https://drive.google.com/open?id=19giKCnEJZsd27wnjIkiqRM8MzXUiz9nx</t>
  </si>
  <si>
    <t>https://drive.google.com/open?id=1lpkiYLfzAtimtBebul9swdIL75yrkM34</t>
  </si>
  <si>
    <t>imranakram4232@gmail.com</t>
  </si>
  <si>
    <t>dr.maryamimran@gmail.com</t>
  </si>
  <si>
    <t>03341762232</t>
  </si>
  <si>
    <t>Maryam Imran</t>
  </si>
  <si>
    <t>Muhammad Imran Akram</t>
  </si>
  <si>
    <t>Post Office, Chak No 232GB Guru Ka Chak ,Tehsil Jaranwala, District Faisalabad</t>
  </si>
  <si>
    <t>03339926232</t>
  </si>
  <si>
    <t>imranakram692@gmail.com</t>
  </si>
  <si>
    <t>https://drive.google.com/open?id=1kbAG2gplgrcDhkkIXCVxQbUXpNxPHjT-</t>
  </si>
  <si>
    <t>https://drive.google.com/open?id=1Q5vQNykJXwwKQO0DsqpQy9YNkEaxXxHw</t>
  </si>
  <si>
    <t>https://drive.google.com/open?id=1tcd-FDU7C45PoLm86jYIqmmIlZKwwDTz</t>
  </si>
  <si>
    <t>https://drive.google.com/open?id=1xGKgmacakSIIewZBJBj_T3u9H7-rfUA4</t>
  </si>
  <si>
    <t>ahsan1210riaz@gmail.com</t>
  </si>
  <si>
    <t>0333 2324138</t>
  </si>
  <si>
    <t>Muhammad Ahsan Riaz Khan</t>
  </si>
  <si>
    <t>Riaz Ahmad khan</t>
  </si>
  <si>
    <t>38302-8008237-7</t>
  </si>
  <si>
    <t>House no :80 , 81 , ameer city colony, khansar road, Bhakkar</t>
  </si>
  <si>
    <t>0333 4082333</t>
  </si>
  <si>
    <t>riazahsan661@gmail.com</t>
  </si>
  <si>
    <t>https://drive.google.com/open?id=12vfB2_1xLS8H3l_S-TMkmqU3dZoCtIYq</t>
  </si>
  <si>
    <t>https://drive.google.com/open?id=1QXDslIhjULTSP2HWdh2--W9eA5s9oWdk</t>
  </si>
  <si>
    <t>https://drive.google.com/open?id=1UozAzHm3aVysYdLSYX2fzXjyFiiuPnAD</t>
  </si>
  <si>
    <t>https://drive.google.com/open?id=1wgdMhxvhafecScopfgBkEfpOXiTUKQCq</t>
  </si>
  <si>
    <t>dr.muhammadusmanazhar@gmail.com</t>
  </si>
  <si>
    <t>03116105745</t>
  </si>
  <si>
    <t xml:space="preserve">Muhammad Usman Azhar </t>
  </si>
  <si>
    <t xml:space="preserve">Muhammad Azhar </t>
  </si>
  <si>
    <t>35202-4611529-3</t>
  </si>
  <si>
    <t xml:space="preserve">256-Satluj Block Allama Iqbal Town Lahore </t>
  </si>
  <si>
    <t xml:space="preserve">Muhammad Usman </t>
  </si>
  <si>
    <t>03007428897</t>
  </si>
  <si>
    <t>https://drive.google.com/open?id=1W_56opVI2sOc_rLXZNZC2gZ9uYHyzp8m</t>
  </si>
  <si>
    <t>https://drive.google.com/open?id=1YMwlE9B7z8f7bP1_Hl2L23QpVXz06j8C</t>
  </si>
  <si>
    <t>https://drive.google.com/open?id=13suK1EFQhmacmuPUi-g5QdJrG_e7Z1XP</t>
  </si>
  <si>
    <t>https://drive.google.com/open?id=11EVqg-s9Ecnr2kjl_pXPRYCYsyK6IIY8</t>
  </si>
  <si>
    <t>arslanghafor1223@gmail.com</t>
  </si>
  <si>
    <t>03167528622</t>
  </si>
  <si>
    <t xml:space="preserve">Muhammad Arslan Ghafoor </t>
  </si>
  <si>
    <t xml:space="preserve">Abdul Ghafoor </t>
  </si>
  <si>
    <t>Al Rahmat street Gojra road Mohallah Qaisar colony Jhang</t>
  </si>
  <si>
    <t>03467200011</t>
  </si>
  <si>
    <t>arslanghafor1221@gmail.com</t>
  </si>
  <si>
    <t>https://drive.google.com/open?id=1J2bgLWsEZpm2m_OwdtZrY6rkli_zEZIc</t>
  </si>
  <si>
    <t>https://drive.google.com/open?id=1mpTAEL6EkkRbsUYnG-iparfvYZkLTuju</t>
  </si>
  <si>
    <t>https://drive.google.com/open?id=1V5OtsLZRG3Q-Yuy1FyGfakQU9VAWVHV3</t>
  </si>
  <si>
    <t>https://drive.google.com/open?id=1UHyTriBGL46otEdgxSTF7pU8ikw7TrjH</t>
  </si>
  <si>
    <t>ahmadmasood1025@gmail.com</t>
  </si>
  <si>
    <t>03220453899</t>
  </si>
  <si>
    <t xml:space="preserve">MUHAMMAD AHMAD </t>
  </si>
  <si>
    <t xml:space="preserve">MUHAMMAD MASOOD </t>
  </si>
  <si>
    <t>33101-3669288-7</t>
  </si>
  <si>
    <t xml:space="preserve">B-631, people colony no.1,near Al Fatah ground Faisalabad </t>
  </si>
  <si>
    <t>03007968358</t>
  </si>
  <si>
    <t>masoodbio123@gmail.com</t>
  </si>
  <si>
    <t>https://drive.google.com/open?id=13arreDD6hdIx_wQ_bfB7gQ28hLvMCY_Z</t>
  </si>
  <si>
    <t>https://drive.google.com/open?id=1iIuVzldLoemxhN6bzUA0pj38mnyLGtbm</t>
  </si>
  <si>
    <t>https://drive.google.com/open?id=1vJXVgBLy-eD6gTYzlvIPPlmrGdgVWAdt</t>
  </si>
  <si>
    <t>https://drive.google.com/open?id=1NvQh4a2KQ4rR-IgMBeJhKf3OIWilebv3</t>
  </si>
  <si>
    <t>nooriqbal782@gmail.com</t>
  </si>
  <si>
    <t>03232763733</t>
  </si>
  <si>
    <t xml:space="preserve">Noor ul iman </t>
  </si>
  <si>
    <t>Muhammad iqbal</t>
  </si>
  <si>
    <t xml:space="preserve">Gulshan colony street 4 gojra </t>
  </si>
  <si>
    <t xml:space="preserve">Muhammad iqbal </t>
  </si>
  <si>
    <t>03017231692</t>
  </si>
  <si>
    <t>muhammadiqbal160@gmail.com</t>
  </si>
  <si>
    <t>https://drive.google.com/open?id=1ONfTEhCUhXz-rAG_anQDYBRkPre1TFDO</t>
  </si>
  <si>
    <t>https://drive.google.com/open?id=1GK3g8dlohfAwbeGbnSQNrq0Md6y2djEZ</t>
  </si>
  <si>
    <t>https://drive.google.com/open?id=1vusyeUcCU0nI56j9xQL6lCqsKM6rR1mZ</t>
  </si>
  <si>
    <t>https://drive.google.com/open?id=1XgTBAyE4eQZd2ZUzl09BN0oUfow00ulA</t>
  </si>
  <si>
    <t>ahmad1033727@gmail.com</t>
  </si>
  <si>
    <t>03465791098</t>
  </si>
  <si>
    <t xml:space="preserve">Tehreem Arif </t>
  </si>
  <si>
    <t xml:space="preserve">House 1/42 Muhallah Pakhiwari Miani, Tehsil Bhera, District Sargodha </t>
  </si>
  <si>
    <t>03473891873</t>
  </si>
  <si>
    <t>ahmed.ali1435755@gmail.com</t>
  </si>
  <si>
    <t>https://drive.google.com/open?id=1DWsNuKQN15LcD6S7jFCt5Wg7NDZnBYEw</t>
  </si>
  <si>
    <t>https://drive.google.com/open?id=1d01wXsslvhoEwM1PxnSQodUQib9ERu-U</t>
  </si>
  <si>
    <t>https://drive.google.com/open?id=1HH-dVAOpjvWn1TiCKsIPNY8NApcrEufz</t>
  </si>
  <si>
    <t>https://drive.google.com/open?id=13kQ13qlbNGrSYNQm6O-Q2WBsfWvkg8ML</t>
  </si>
  <si>
    <t>nasirmehmood5009433@gmail.com</t>
  </si>
  <si>
    <t>03052111435</t>
  </si>
  <si>
    <t>Adeen Huma</t>
  </si>
  <si>
    <t xml:space="preserve">Nasir Mehmood </t>
  </si>
  <si>
    <t>33106-5960965-0</t>
  </si>
  <si>
    <t xml:space="preserve">p 268 Rachna town no 1 Satiana Road Faisalabad </t>
  </si>
  <si>
    <t>03005009433</t>
  </si>
  <si>
    <t>my304384@gmail.com</t>
  </si>
  <si>
    <t>https://drive.google.com/open?id=1KFUJ7n3DdZiSYjDpl9y3JfooyDvNj11g</t>
  </si>
  <si>
    <t>https://drive.google.com/open?id=1Ly69HyRZx_nPw-pVm2iaBb0QoJRb_rm6</t>
  </si>
  <si>
    <t>https://drive.google.com/open?id=1JnypRwoiG8cMgDaWqrmYvuCZu9fCNy1Z</t>
  </si>
  <si>
    <t>https://drive.google.com/open?id=1Y2uG_nIcX7c3Bdv-xttNCXaiSJXL6QZK</t>
  </si>
  <si>
    <t>ranaumarfarooqdps@gmail.com</t>
  </si>
  <si>
    <t>03366661260</t>
  </si>
  <si>
    <t>Muhammad Umar Farooq</t>
  </si>
  <si>
    <t>Rana Farooq Sarwar</t>
  </si>
  <si>
    <t xml:space="preserve">P13 street 6 Nadir town bakarmandi road Faisalabad </t>
  </si>
  <si>
    <t xml:space="preserve">Rana Farooq Sarwar </t>
  </si>
  <si>
    <t>03336521260</t>
  </si>
  <si>
    <t>ranafarooqsarwar@gmail.com</t>
  </si>
  <si>
    <t>https://drive.google.com/open?id=1afRxFhljB7TUJKaNjGJGS-LrIIX1S9lB</t>
  </si>
  <si>
    <t>https://drive.google.com/open?id=11aFVvKudkLQyqCxhMlz1U9PyZkYpNuGh</t>
  </si>
  <si>
    <t>https://drive.google.com/open?id=1gDBYKREqI939ufGuKHcQ668i1Fzbviuw</t>
  </si>
  <si>
    <t>https://drive.google.com/open?id=19JP91PwjwXiSGpILfF5A89wytYGzkd28</t>
  </si>
  <si>
    <t>hassanzohaibmuhammad1@gmail.com</t>
  </si>
  <si>
    <t>03186304741</t>
  </si>
  <si>
    <t xml:space="preserve">MUHAMMAD HASSAN ZOHAIB </t>
  </si>
  <si>
    <t>MUHAMMAD ASIM SHAHZAD</t>
  </si>
  <si>
    <t>Chak no 113 J.B Phallahi</t>
  </si>
  <si>
    <t xml:space="preserve">MUHAMMAD ASIM SHAHZAD </t>
  </si>
  <si>
    <t>03137174951</t>
  </si>
  <si>
    <t>masimshahzad113@gmail.com</t>
  </si>
  <si>
    <t>https://drive.google.com/open?id=1BJfRvXG-hLGCrgfThvBtAxC3XBIeaLZU</t>
  </si>
  <si>
    <t>https://drive.google.com/open?id=1c9RZFuC1eqpm8p1GYZw_yYV7gSzbq-jZ</t>
  </si>
  <si>
    <t>https://drive.google.com/open?id=1tzw6kST7EzTERkjmKtdhLKuLTy1p2rer</t>
  </si>
  <si>
    <t>https://drive.google.com/open?id=1knvtoURgTjRZ4nejt-cAufO4GLd9PPlJ</t>
  </si>
  <si>
    <t>hassan1665819@gmail.com</t>
  </si>
  <si>
    <t>03091665819</t>
  </si>
  <si>
    <t>Ali Hassan</t>
  </si>
  <si>
    <t>Abdul Rashid</t>
  </si>
  <si>
    <t>Chak no 161 TDA tehsil and district layyah</t>
  </si>
  <si>
    <t>03017852409</t>
  </si>
  <si>
    <t>fahad7330174@gmail.com</t>
  </si>
  <si>
    <t>https://drive.google.com/open?id=1tYugDrMAjy8OZWH_PmBVqi5kM0pSr4Vo</t>
  </si>
  <si>
    <t>https://drive.google.com/open?id=17efR9B8AXoXJo5wDcSxlckQsPA_WkPkK</t>
  </si>
  <si>
    <t>https://drive.google.com/open?id=1V5Ghaqpay8Bj7cNNpxGCiOqJwwZqRi4W</t>
  </si>
  <si>
    <t>https://drive.google.com/open?id=1-g6xZsRpanGJ4eqzdG2yn-pBt953cAlP</t>
  </si>
  <si>
    <t>aj412308@gmail.com</t>
  </si>
  <si>
    <t>03053048889</t>
  </si>
  <si>
    <t>Muhammad Arham Zafar</t>
  </si>
  <si>
    <t>Zafar Iqbal</t>
  </si>
  <si>
    <t>56/B Z block Model town Bahawalnagar</t>
  </si>
  <si>
    <t>Riffat Sultana</t>
  </si>
  <si>
    <t>03328662658</t>
  </si>
  <si>
    <t>arhamofficial57@gmail.com</t>
  </si>
  <si>
    <t>https://drive.google.com/open?id=1LdkD8jAA9FUiK-1MRDhZu94-FlPBvJEC</t>
  </si>
  <si>
    <t>https://drive.google.com/open?id=1OWDG6HKeCirm7_5dtOhiwFcc8eyVyGaj</t>
  </si>
  <si>
    <t>https://drive.google.com/open?id=1WwJkQ80xR-KiEv37n78hPk8fsr2djj71</t>
  </si>
  <si>
    <t>https://drive.google.com/open?id=1ic_6Mh34h5JNiU23nS-kY1xMZliKWbqX</t>
  </si>
  <si>
    <t>hareemirfan1106@gmail.com</t>
  </si>
  <si>
    <t>03711281106</t>
  </si>
  <si>
    <t>Hareem Irfan</t>
  </si>
  <si>
    <t>Irfan Tariq</t>
  </si>
  <si>
    <t>195-F block Chenab Gardens Samundari Road Faisalabad</t>
  </si>
  <si>
    <t>03338960990</t>
  </si>
  <si>
    <t>tariqirfan969@gmail.com</t>
  </si>
  <si>
    <t>https://drive.google.com/open?id=19Hyr7C3_c1RsR_Sx74QrkQ79RQI4vsYZ</t>
  </si>
  <si>
    <t>https://drive.google.com/open?id=1f1oPuHf4sa_50rO1ugW_8ZiV0sISA1SJ</t>
  </si>
  <si>
    <t>https://drive.google.com/open?id=1A7HO8ks5i4dGRIXZxEl4m-Ws9AQ5cwNS</t>
  </si>
  <si>
    <t>https://drive.google.com/open?id=1-a3NpjouM8giNFYECvbhiAs9-L_9XSvR</t>
  </si>
  <si>
    <t>zahidkhanlak387@gmail.com</t>
  </si>
  <si>
    <t>03256221455</t>
  </si>
  <si>
    <t xml:space="preserve">Muhammad Sajjad </t>
  </si>
  <si>
    <t xml:space="preserve">Muhammad Rafique </t>
  </si>
  <si>
    <t xml:space="preserve">Chak no#. 131/15.L Mian Channu 
P/o Chak no#132/16.L Mian channu khanewal </t>
  </si>
  <si>
    <t>03166215357</t>
  </si>
  <si>
    <t>m.hamzajavaid1122@gmail.com</t>
  </si>
  <si>
    <t>03176337787</t>
  </si>
  <si>
    <t>Muhammad Hamza Javaid</t>
  </si>
  <si>
    <t>Javaid Akhtar</t>
  </si>
  <si>
    <t>33102-6288527-3</t>
  </si>
  <si>
    <t xml:space="preserve">House No.760 B-block islami chowk Ghulam Muhammadabad Faisalabad </t>
  </si>
  <si>
    <t xml:space="preserve">Javaid Akhtar </t>
  </si>
  <si>
    <t>03007200506</t>
  </si>
  <si>
    <t>javed_dph@yahoo.com</t>
  </si>
  <si>
    <t>https://drive.google.com/open?id=1ArtYlm4ZxwRbJyBqfKX9gpe0CrPzFum8</t>
  </si>
  <si>
    <t>https://drive.google.com/open?id=1zZCKP-AEGcIAGM0_d8vhzn4a1BCSJtYw</t>
  </si>
  <si>
    <t>https://drive.google.com/open?id=1TQ_wyvj9AmKetQMiKWxnlaRweY4Fv-cu</t>
  </si>
  <si>
    <t>https://drive.google.com/open?id=1vZ-cYT0000aG9ZcZ65g1fRIwEWMkfJvX</t>
  </si>
  <si>
    <t>mianyaseenmianyaseentayyab@gmail.com</t>
  </si>
  <si>
    <t>03061658405</t>
  </si>
  <si>
    <t xml:space="preserve">Alina Yasin </t>
  </si>
  <si>
    <t xml:space="preserve">Muhammad Yasin Tayyub </t>
  </si>
  <si>
    <t>33104-9041870-0</t>
  </si>
  <si>
    <t xml:space="preserve">106 RB Chaudhary Wala,Jaranwala,Faisalabad </t>
  </si>
  <si>
    <t>03007279686</t>
  </si>
  <si>
    <t>ymian6168</t>
  </si>
  <si>
    <t>https://drive.google.com/open?id=1wfTnfrTK77urUIiHV5zPGXOlcPZbKFbo</t>
  </si>
  <si>
    <t>https://drive.google.com/open?id=1It2vtA3HNgwEJHl_Vysfl2n4WMudiDBI</t>
  </si>
  <si>
    <t>https://drive.google.com/open?id=1fXpBQNBuiCHsgv3jV6EpBxzbacdLewkl</t>
  </si>
  <si>
    <t>https://drive.google.com/open?id=1wAOANjW5p-W4PUAGRQAcDmbfFZ8QgJWK</t>
  </si>
  <si>
    <t>bushrashahbaz771@gmail.com</t>
  </si>
  <si>
    <t>03326431994</t>
  </si>
  <si>
    <t xml:space="preserve">Bushra shahbaz </t>
  </si>
  <si>
    <t xml:space="preserve">Dur e shahbaz qalandar </t>
  </si>
  <si>
    <t>33303-8491586-0</t>
  </si>
  <si>
    <t xml:space="preserve">Chak no. 190 , kichnabad , tehsil or district Toba tek Singh </t>
  </si>
  <si>
    <t>03369090190</t>
  </si>
  <si>
    <t>shahbazkharal994@gmail.com</t>
  </si>
  <si>
    <t>https://drive.google.com/open?id=1dVKwkq2NAAigHMy34LqKXWaCZLdCxwpl</t>
  </si>
  <si>
    <t>https://drive.google.com/open?id=1cuJx_uJXj9ZDpgiQ7Ms8P2jX0kggv2Ex</t>
  </si>
  <si>
    <t>https://drive.google.com/open?id=1Mdl-vHXTAY8Roxg5Y5BTEvClrEgTjPFW</t>
  </si>
  <si>
    <t>https://drive.google.com/open?id=1kyX0PXkZRlnekTTm9HbXe4BFIIijHZyS</t>
  </si>
  <si>
    <t>raiqa.islam@gmail.com</t>
  </si>
  <si>
    <t>03008668766</t>
  </si>
  <si>
    <t>Raiqa Zia</t>
  </si>
  <si>
    <t xml:space="preserve">Zia Ur Rehman </t>
  </si>
  <si>
    <t>33102 9339888 4</t>
  </si>
  <si>
    <t>P-86/1 Street#3 Naimat Colony#2 Faisalabad</t>
  </si>
  <si>
    <t>Zia Ur Rehman</t>
  </si>
  <si>
    <t>03007214009</t>
  </si>
  <si>
    <t>bazgha.islam.1@gmail.com</t>
  </si>
  <si>
    <t>https://drive.google.com/open?id=1NHr7gqYkIko-Vdjp5ca-5uG78g8q4M7Q</t>
  </si>
  <si>
    <t>https://drive.google.com/open?id=1Xwaz4sQAlRCfrD6iids6VPExOujjXXBF</t>
  </si>
  <si>
    <t>https://drive.google.com/open?id=1XMP5ODoHHSKEBF0BYDGM_DF_v6lGmz-p</t>
  </si>
  <si>
    <t>https://drive.google.com/open?id=1eHQtZ2BqRvfqj3W6kLo8LB7iGVeAZv-u</t>
  </si>
  <si>
    <t>eaglegolden456@gmail.com</t>
  </si>
  <si>
    <t xml:space="preserve">eaglegolden456@gmail.com </t>
  </si>
  <si>
    <t>0349 2274735</t>
  </si>
  <si>
    <t xml:space="preserve">Noor ul Huda </t>
  </si>
  <si>
    <t>Muhammad Sharif Anjum</t>
  </si>
  <si>
    <t>33103-6930693-6</t>
  </si>
  <si>
    <t xml:space="preserve">Chak no. 111 J/B, Tehsil Faisalabad Sadar, District Faisalabad </t>
  </si>
  <si>
    <t>0300 7680149</t>
  </si>
  <si>
    <t xml:space="preserve">ghazalaafzal111@gmail.com </t>
  </si>
  <si>
    <t>https://drive.google.com/open?id=1cMyVQeNyhrswRcOtjpCyB0uO9JlnTz9p</t>
  </si>
  <si>
    <t>https://drive.google.com/open?id=1TK-G0sTdCM6AmCQC-oxvHQXNMNTA5X5v</t>
  </si>
  <si>
    <t>https://drive.google.com/open?id=1HC2lJpljAfpmKHwimovJwlBFCFspM1hf</t>
  </si>
  <si>
    <t>https://drive.google.com/open?id=1huMwUBsZbXIRshnQuyvbqI7Jsso7zpVC</t>
  </si>
  <si>
    <t>fatimatayyab1211@gmail.com</t>
  </si>
  <si>
    <t>03320679767</t>
  </si>
  <si>
    <t>Fatima Tayyab</t>
  </si>
  <si>
    <t>Muhammad Tayyab</t>
  </si>
  <si>
    <t>House No P-258/A, St 05, (Telenor Tower) Mohalla Amin Park Near Rabani Colony Faislabad.</t>
  </si>
  <si>
    <t>03326504344</t>
  </si>
  <si>
    <t>mtayyabt999@gmail.com</t>
  </si>
  <si>
    <t>https://drive.google.com/open?id=1HuJ6cEjbO73favMm-CLmdMta_o0-7Sma</t>
  </si>
  <si>
    <t>https://drive.google.com/open?id=1LpA_r62BIaFudYSJTscWxC3p3l05x_m1</t>
  </si>
  <si>
    <t>https://drive.google.com/open?id=18esSo9UjxdjS-jHtzYGLKMyyWPdNrv-3</t>
  </si>
  <si>
    <t>https://drive.google.com/open?id=1nfo9RrQYpoCOOxrdNbBcd4i2-ylpOxfS</t>
  </si>
  <si>
    <t>tahirwardah17@gmail.com</t>
  </si>
  <si>
    <t>03120153124</t>
  </si>
  <si>
    <t xml:space="preserve">Wardah Tahir </t>
  </si>
  <si>
    <t xml:space="preserve">Tahir Iqbal </t>
  </si>
  <si>
    <t>School Wali Gali Gulistan Road House No 82 Street No 2 MOH Awami Colony FSD</t>
  </si>
  <si>
    <t xml:space="preserve">Abida Tahir </t>
  </si>
  <si>
    <t>03007634360</t>
  </si>
  <si>
    <t>tahiriqbal01111@gmail.com</t>
  </si>
  <si>
    <t>https://drive.google.com/open?id=1E4k61Q4JEviYuxuIYq5Y9mpkJ7c3bnyC</t>
  </si>
  <si>
    <t>https://drive.google.com/open?id=105z_qHHH0zYMC2am6brUqCO0vq6qCuSi</t>
  </si>
  <si>
    <t>https://drive.google.com/open?id=12qkdrIXCV3bU5lD9lQxhm24pCZkIUu19</t>
  </si>
  <si>
    <t>https://drive.google.com/open?id=1a5elmmSbicGIxnNIENpoFI7GMJJmNp2A</t>
  </si>
  <si>
    <t>mifraheem0306@gmail.com</t>
  </si>
  <si>
    <t>03371613244</t>
  </si>
  <si>
    <t>Muhammad Ifraheem</t>
  </si>
  <si>
    <t>Nausherwan Khan</t>
  </si>
  <si>
    <t>Hussania Colony St 7 Jamil Park Gojra</t>
  </si>
  <si>
    <t>03477861101</t>
  </si>
  <si>
    <t>nowsheer.g5554@gmail.com</t>
  </si>
  <si>
    <t>https://drive.google.com/open?id=1q_XLbzIOh43sfO8l3oKFFezD1DL5kX4-</t>
  </si>
  <si>
    <t>https://drive.google.com/open?id=1eFlCWxjxTy4jOK7Hr_DKbdRaiOgIkJ1k</t>
  </si>
  <si>
    <t>https://drive.google.com/open?id=1_a8L4_LZBMzBxnh7UMzbeQkKT3sFzKBn</t>
  </si>
  <si>
    <t>https://drive.google.com/open?id=1p9j2BBZ-fWGJgCAytt4pg4E7mGpUvrGu</t>
  </si>
  <si>
    <t>arooba290107@gmail.com</t>
  </si>
  <si>
    <t>03007707305</t>
  </si>
  <si>
    <t>Arooba Imran</t>
  </si>
  <si>
    <t>Imran Qadir</t>
  </si>
  <si>
    <t>33102-5290362-8</t>
  </si>
  <si>
    <t xml:space="preserve">P-737 Dawood Colony Sargodha Road Faisalabad </t>
  </si>
  <si>
    <t>07</t>
  </si>
  <si>
    <t>03006685995</t>
  </si>
  <si>
    <t>drimranqadir@yahoo.com</t>
  </si>
  <si>
    <t>https://drive.google.com/open?id=1v5dKta8nwaAf0SCWJhFxLchzV6bTlOFh</t>
  </si>
  <si>
    <t>https://drive.google.com/open?id=1Nrh4rWQAHj-OP-8QWVb1ySq18b6fI35j</t>
  </si>
  <si>
    <t>https://drive.google.com/open?id=1hm2Y1zBoBbsOqR8bYFcG3xlS8D-kfQps</t>
  </si>
  <si>
    <t>https://drive.google.com/open?id=1NwSQ8yBG1UtcmBDZsl9OvSzlOygQM4JL</t>
  </si>
  <si>
    <t>tehreemtariq7631032@gmail.com</t>
  </si>
  <si>
    <t>03175097160</t>
  </si>
  <si>
    <t>Tehreem Tariq</t>
  </si>
  <si>
    <t>Muhammad Tariq</t>
  </si>
  <si>
    <t>23 GB Jaranwala district Faisalabad</t>
  </si>
  <si>
    <t>03427631932</t>
  </si>
  <si>
    <t>hafizmuhammadtariq23@gmail.com</t>
  </si>
  <si>
    <t>https://drive.google.com/open?id=1rdqlyRsXN8ibALjS2HMz8eoJaxJnfJgn</t>
  </si>
  <si>
    <t>https://drive.google.com/open?id=1KdeD9XHTqe-WYleLWBcr0dWxUDwCvX-B</t>
  </si>
  <si>
    <t>https://drive.google.com/open?id=13tXJElgcQopiD6aCTUvJvdToJ9hZPeYv</t>
  </si>
  <si>
    <t>https://drive.google.com/open?id=1tCTWtqiwdYL9ciWhbTmITzYuc3H0pzJd</t>
  </si>
  <si>
    <t>amnaasif1096@gmail.com</t>
  </si>
  <si>
    <t>03339693800</t>
  </si>
  <si>
    <t>Amna Asif</t>
  </si>
  <si>
    <t xml:space="preserve">Upper portion New Punjab Honda Showroom 
Near WAPDA Office Opposite Municipal Football Stadium, Faisalabad Road, Samundri </t>
  </si>
  <si>
    <t>03336578065</t>
  </si>
  <si>
    <t>ranamuhammadasifnhmp@gmail.com</t>
  </si>
  <si>
    <t>https://drive.google.com/open?id=12wN_QNcOD7Tfz2nDF5AK2xHspNt7Vtdn</t>
  </si>
  <si>
    <t>https://drive.google.com/open?id=1-Pl8HzXgpZzCqLPkPsdwO1en1qynqBqq</t>
  </si>
  <si>
    <t>https://drive.google.com/open?id=172IpgUbQrYsSw6fJ5n4-hKl7bztAjBtm</t>
  </si>
  <si>
    <t>https://drive.google.com/open?id=1950u9LCI5Qt1F1zYA0U-nlch5F9hLbTM</t>
  </si>
  <si>
    <t>jasonroy54915491@gmail.com</t>
  </si>
  <si>
    <t>03305581322</t>
  </si>
  <si>
    <t xml:space="preserve">Muhammad Umar </t>
  </si>
  <si>
    <t>37405-4346562-7</t>
  </si>
  <si>
    <t xml:space="preserve">House#1539/48 street #4 mehboob lane Peshawar road Rawalpindi </t>
  </si>
  <si>
    <t>03005289436</t>
  </si>
  <si>
    <t>majidmedical79@gmail.com</t>
  </si>
  <si>
    <t>https://drive.google.com/open?id=1qmLsp7CcdxBJpnj3VmYZJgwBtgISILB-</t>
  </si>
  <si>
    <t>https://drive.google.com/open?id=1DlS2v0QtJ5ykdKVJv5y1NU9S1qsZ3xrV</t>
  </si>
  <si>
    <t>https://drive.google.com/open?id=1L7Ao6WiN-iHrmZ0wXrvq0HIMVc1Lnu3M</t>
  </si>
  <si>
    <t>https://drive.google.com/open?id=1ZvQdL48G3K3Up0A3v1OCNue8UBKu9i1P</t>
  </si>
  <si>
    <t>sohaibasif701@gmail.com</t>
  </si>
  <si>
    <t>0329 7657701</t>
  </si>
  <si>
    <t xml:space="preserve">Muhammad Sohaib </t>
  </si>
  <si>
    <t xml:space="preserve">Asif Iqbal </t>
  </si>
  <si>
    <t>36501-6531836-5</t>
  </si>
  <si>
    <t xml:space="preserve">Zakriya Town, Mandi Town Layyah </t>
  </si>
  <si>
    <t>0306 6656315</t>
  </si>
  <si>
    <t>https://drive.google.com/open?id=170JVXhV_eIJ0K_Rrbuuc5rO9eu4DJ47y</t>
  </si>
  <si>
    <t>https://drive.google.com/open?id=10BYbGetPUYUav-urHJRvAePDMcED9DNn</t>
  </si>
  <si>
    <t>https://drive.google.com/open?id=1Z5d9dLzT2swp8DthwMtQY7ZdDefyDjzg</t>
  </si>
  <si>
    <t>https://drive.google.com/open?id=1YS3ZCWsl0Xvi9SPqbzSnYdtYENlcLC0q</t>
  </si>
  <si>
    <t>nasirmaria528@gmail.com</t>
  </si>
  <si>
    <t>03294741890</t>
  </si>
  <si>
    <t>Maria Nasir</t>
  </si>
  <si>
    <t xml:space="preserve">Nasir Farooq </t>
  </si>
  <si>
    <t xml:space="preserve">colony no 3 near masjidd arsh bari khanewal </t>
  </si>
  <si>
    <t>father</t>
  </si>
  <si>
    <t>03006894909</t>
  </si>
  <si>
    <t>https://drive.google.com/open?id=1uP7NwIHxNRM19e3OTInWTQudUicPAfsx</t>
  </si>
  <si>
    <t>https://drive.google.com/open?id=13f3UeeapV6WdhGPC25_EjjC9eCZ_1wg8</t>
  </si>
  <si>
    <t>https://drive.google.com/open?id=18eKgZ6339oRmQtAb1Z7IEkLy1X_NbmhT</t>
  </si>
  <si>
    <t>https://drive.google.com/open?id=1Ltjr2cj0ZMp7k1aGjMSuXZO1aj9rGLbq</t>
  </si>
  <si>
    <t>zaididogarfootballer@gmail.com</t>
  </si>
  <si>
    <t>03107541135</t>
  </si>
  <si>
    <t>Muhammad Zaid Saleem</t>
  </si>
  <si>
    <t>Muhammad Saleem</t>
  </si>
  <si>
    <t>33102-8167565-5</t>
  </si>
  <si>
    <t>P47 Iqbal Town Ghulam Muhammad Abad Faisalabad</t>
  </si>
  <si>
    <t>2070067    in (2024)</t>
  </si>
  <si>
    <t>03336562105</t>
  </si>
  <si>
    <t>saleemdogar105@gmail.com</t>
  </si>
  <si>
    <t>https://drive.google.com/open?id=1t5jfFCDWjyvZEMVfVatWd5rlzvsRVais</t>
  </si>
  <si>
    <t>https://drive.google.com/open?id=1E6WRZwf_ol3GQJ-XpWhRSokADb2c79UR</t>
  </si>
  <si>
    <t>https://drive.google.com/open?id=1ngm4-dDhI6kgiT3ACbn5iMgey5AjHvBF</t>
  </si>
  <si>
    <t>https://drive.google.com/open?id=1VQvm-1RKJ2uj1_5Ci7rPqYc1D5JQxGQn</t>
  </si>
  <si>
    <t>https://drive.google.com/open?id=1i6F1ce-oJDbK8xvAx1aUiIvuIfHp_VgS</t>
  </si>
  <si>
    <t>https://drive.google.com/open?id=1UaaFRPG9eMf_VOqBmkbwzrTgU-6YgbV7</t>
  </si>
  <si>
    <t>https://drive.google.com/open?id=1qXVuX8-ZL5hrex5lwjqPmCNWkX7QV63V</t>
  </si>
  <si>
    <t>https://drive.google.com/open?id=1_cdHs42gHBtgAaRsjWKMTCX5IdmE0r4i</t>
  </si>
  <si>
    <t>talha007nasir@gmail.com</t>
  </si>
  <si>
    <t>03222222454</t>
  </si>
  <si>
    <t>Muhammad Talha</t>
  </si>
  <si>
    <t>Nasir Khan Chattha</t>
  </si>
  <si>
    <t>33102-5290655-3</t>
  </si>
  <si>
    <t>House#P-6 , Rehman street , Faisal town , Faisalabad</t>
  </si>
  <si>
    <t>03334070032</t>
  </si>
  <si>
    <t>Nasir0khan1@gmail.com</t>
  </si>
  <si>
    <t>https://drive.google.com/open?id=1FKtdI1M7Hqw9Q-sHQeVWmiwVAU6liTnK</t>
  </si>
  <si>
    <t>https://drive.google.com/open?id=13EM7JBe4IY9EMwUrRRVTeBViX6dluhti</t>
  </si>
  <si>
    <t>https://drive.google.com/open?id=1FLqLqq-TUMc9gJzJ4QMTf1OxtobUnsmq</t>
  </si>
  <si>
    <t>https://drive.google.com/open?id=1tSgnBtBn1VCLdI2CKz6zEXPc75Sl4FtK</t>
  </si>
  <si>
    <t>atifaziz352@gmail.com</t>
  </si>
  <si>
    <t>03422349156</t>
  </si>
  <si>
    <t xml:space="preserve">Abdul Aziz </t>
  </si>
  <si>
    <t xml:space="preserve">Razai shah janubi notak Tehsil and district bhakkar </t>
  </si>
  <si>
    <t xml:space="preserve">Tariq Aziz </t>
  </si>
  <si>
    <t>03467580345</t>
  </si>
  <si>
    <t>maliktariqaziz37@gmail.com</t>
  </si>
  <si>
    <t>https://drive.google.com/open?id=1bmABeViw6TYHBLeVtdzalxknHKFzl0Tp</t>
  </si>
  <si>
    <t>https://drive.google.com/open?id=1qnXGhpovc6pxst7PRDiSl8kKe5Zqye0s</t>
  </si>
  <si>
    <t>https://drive.google.com/open?id=1OtJCxDtqtjj-MDfhCytrzOjsvCt2ykjm</t>
  </si>
  <si>
    <t>https://drive.google.com/open?id=11-rY-KkQjOESrDFOEk7VXALYWL0Ax9IB</t>
  </si>
  <si>
    <t>hassanwattoo672@gmail.com</t>
  </si>
  <si>
    <t>03276885181</t>
  </si>
  <si>
    <t xml:space="preserve">Muhammad Hassan </t>
  </si>
  <si>
    <t xml:space="preserve">Haveli lakha tehsil depalpur district okara </t>
  </si>
  <si>
    <t>Muhammad hassan</t>
  </si>
  <si>
    <t>03194264066</t>
  </si>
  <si>
    <t>https://drive.google.com/open?id=1skPIUqEDrjUCotUvStJusXlmL-WdtepB</t>
  </si>
  <si>
    <t>https://drive.google.com/open?id=1OAcJxcIQgsh9Hd0WmZz5LUL0_v92DcLI</t>
  </si>
  <si>
    <t>https://drive.google.com/open?id=1L2xn_wnypYeIx2_spXwVJXn-Vq_6qk38</t>
  </si>
  <si>
    <t>https://drive.google.com/open?id=16Pl4spJTrNMvRtr8Qu47rLLfVGraxH3h</t>
  </si>
  <si>
    <t>quratulainsaif254@gmail.com</t>
  </si>
  <si>
    <t>03117279449</t>
  </si>
  <si>
    <t xml:space="preserve"> Qurat Ul Ain </t>
  </si>
  <si>
    <t>Saif Ullah khalid Bajwah</t>
  </si>
  <si>
    <t xml:space="preserve">Taj town st no 03 house no 149 Darbar road Mian channu </t>
  </si>
  <si>
    <t>Shaista Anwar</t>
  </si>
  <si>
    <t>03401060906</t>
  </si>
  <si>
    <t>ssbajwa.pst@gmail.com</t>
  </si>
  <si>
    <t>https://drive.google.com/open?id=1WJcQYa5j3JQj2rYVaF5aS_LHHHZJ1NI-</t>
  </si>
  <si>
    <t>https://drive.google.com/open?id=1Dwz57UceWbiAD4OuPWM8e5BoqMfBb7IZ</t>
  </si>
  <si>
    <t>https://drive.google.com/open?id=1dpqaAe7Yo7iVncrU95vughDxs8EhXpzN</t>
  </si>
  <si>
    <t>https://drive.google.com/open?id=14vOHuKpj0CBF-6s7wJFa3onzgqDoVqTC</t>
  </si>
  <si>
    <t>u15949122@gmail.com</t>
  </si>
  <si>
    <t>03232123426</t>
  </si>
  <si>
    <t xml:space="preserve">UMME E HABIBA </t>
  </si>
  <si>
    <t xml:space="preserve">SHAHID PERVEIZ </t>
  </si>
  <si>
    <t>33202-6514295-8</t>
  </si>
  <si>
    <t xml:space="preserve">Chak 443 tehsil and district jhang </t>
  </si>
  <si>
    <t xml:space="preserve">Shahid perveiz </t>
  </si>
  <si>
    <t>03451460428</t>
  </si>
  <si>
    <t>asifaparveenshahid888@gmail.com</t>
  </si>
  <si>
    <t>https://drive.google.com/open?id=1s5fJJIG8YUF1cxf28rBOIUte2LfdNaNP</t>
  </si>
  <si>
    <t>https://drive.google.com/open?id=1YIaCaMKv4x2ZeUileeuU4OGfSQtaDT6_</t>
  </si>
  <si>
    <t>https://drive.google.com/open?id=1r0ZH50bi-dwzzdIfcz2ZehIHyuEZVRfQ</t>
  </si>
  <si>
    <t>https://drive.google.com/open?id=125A2vg7nmrz07jStSackdwODhZ5zcIZj</t>
  </si>
  <si>
    <t>laraibfatima7770@gmail.com</t>
  </si>
  <si>
    <t>03057770911</t>
  </si>
  <si>
    <t>Laraib Fatima</t>
  </si>
  <si>
    <t>Ghulam Sarwar</t>
  </si>
  <si>
    <t>11wb Housing scheme house no.182 block A,Vehari</t>
  </si>
  <si>
    <t xml:space="preserve">Ghulam Sarwar </t>
  </si>
  <si>
    <t>03007350711</t>
  </si>
  <si>
    <t>sarwaradnan004@gmail.com</t>
  </si>
  <si>
    <t>https://drive.google.com/open?id=1frwUbFlzk6kZCD_s9vvDMyC8w3wTZU4G</t>
  </si>
  <si>
    <t>https://drive.google.com/open?id=1kElYT6QUnb5F5opqwrl0p5fY-QXDD_-m</t>
  </si>
  <si>
    <t>https://drive.google.com/open?id=11BpHA_UEZSKNsezCWRUJFLDQkueyW1XP</t>
  </si>
  <si>
    <t>https://drive.google.com/open?id=1WUkBkOV0alYRhthbeADuZ_0HhbmxMsKH</t>
  </si>
  <si>
    <t>qasim298muhammad@gmail.com</t>
  </si>
  <si>
    <t>0307 1841348</t>
  </si>
  <si>
    <t>Mah Noor</t>
  </si>
  <si>
    <t>Muhammad Qasim</t>
  </si>
  <si>
    <t>33301-1879855-0</t>
  </si>
  <si>
    <t xml:space="preserve">Post office khas chak 298 jb kot Brander Tehsil Gojra, District Toba tek singh </t>
  </si>
  <si>
    <t>Kokab shaheen</t>
  </si>
  <si>
    <t>0300 2437331</t>
  </si>
  <si>
    <t>muhammadqasim03002437331@gmail.com</t>
  </si>
  <si>
    <t>https://drive.google.com/open?id=179mHX4qV54e2mpE0CVF2rSYDOogN5qki</t>
  </si>
  <si>
    <t>https://drive.google.com/open?id=1ZcOSLJhN_s-4j2rv8WcSAUuHd4fSM4Ot</t>
  </si>
  <si>
    <t>https://drive.google.com/open?id=1zwGIatkruzcD08gRZmo1Nth1ngAfmn8k</t>
  </si>
  <si>
    <t>https://drive.google.com/open?id=1YQUhW4nGGoJaFsr320xvVwDeFjIvhPSa</t>
  </si>
  <si>
    <t>emanchaudhary293@gmail.com</t>
  </si>
  <si>
    <t>muhammadnaveedchatha518@gmail.com</t>
  </si>
  <si>
    <t>03151664518</t>
  </si>
  <si>
    <t>Salwa Naveed</t>
  </si>
  <si>
    <t>Muhammad Naveed Chatha</t>
  </si>
  <si>
    <t>P/O Khas Chak  No. 518/TDA Tehsil Kot Addu District Muzaffargarh</t>
  </si>
  <si>
    <t>03453216792</t>
  </si>
  <si>
    <t>hamzachatha518@gmail.com</t>
  </si>
  <si>
    <t>https://drive.google.com/open?id=1UusVraQHBXEowgF1WzQuYcY3B0yK_ivq</t>
  </si>
  <si>
    <t>https://drive.google.com/open?id=1zhjPP_QKld6q7g4SQcle3U5mTgWS137K</t>
  </si>
  <si>
    <t>https://drive.google.com/open?id=1Uxf6DAkMQtraGezHHckaVwbPtIh6L32r</t>
  </si>
  <si>
    <t>https://drive.google.com/open?id=1Ja4FZhYt5TjNiginLap02V7z3b2C8DDB</t>
  </si>
  <si>
    <t>ramshamehak21@gmail.com</t>
  </si>
  <si>
    <t>03706271683</t>
  </si>
  <si>
    <t xml:space="preserve">Ramsha mehak </t>
  </si>
  <si>
    <t xml:space="preserve">Muhammad ateeq khan </t>
  </si>
  <si>
    <t xml:space="preserve">583 k block Farid town sahiwal </t>
  </si>
  <si>
    <t>03063911883</t>
  </si>
  <si>
    <t>alishbamehak67@gmail.com</t>
  </si>
  <si>
    <t>https://drive.google.com/open?id=1Ohe9Th_yyHI2fJOg5SkbNIbpcufmHLZg</t>
  </si>
  <si>
    <t>https://drive.google.com/open?id=1vhXuNhW5CbOTkAaHCvWofwWyoxIDm1BB</t>
  </si>
  <si>
    <t>https://drive.google.com/open?id=1yCubjwI_uEkYPmgICsPr9Ytd-KYOQsHD</t>
  </si>
  <si>
    <t>https://drive.google.com/open?id=1CeaSJwVFVCQU71n0UICnVYnmYlMIns4Z</t>
  </si>
  <si>
    <t>rehmanaiman2009@gmail.com</t>
  </si>
  <si>
    <t>bushrarhman2005@gmail.com</t>
  </si>
  <si>
    <t>03245713107</t>
  </si>
  <si>
    <t xml:space="preserve">Bushra Rehman </t>
  </si>
  <si>
    <t xml:space="preserve">Shabbir Hussain </t>
  </si>
  <si>
    <t xml:space="preserve">P 140 street no 7 Dustageer colony Mansoorabad Faisalabad </t>
  </si>
  <si>
    <t>03011686909</t>
  </si>
  <si>
    <t>https://drive.google.com/open?id=1MtNxuHoAuJhh3fE2884VHkwWSxF_gITJ</t>
  </si>
  <si>
    <t>https://drive.google.com/open?id=1P2G6UToZ-6XWuQ5qKNbFg04moj6VJaPz</t>
  </si>
  <si>
    <t>https://drive.google.com/open?id=1RdwMYw7_ev87MejexYaEyDRksQ-gOcq2</t>
  </si>
  <si>
    <t>https://drive.google.com/open?id=1GVUsCy0OLfbvo2vuOGGa8qG4jLku99RT</t>
  </si>
  <si>
    <t>ua7611634@gmail.com</t>
  </si>
  <si>
    <t>03261954783</t>
  </si>
  <si>
    <t>Umar Farooq</t>
  </si>
  <si>
    <t>Muhammad Afzal</t>
  </si>
  <si>
    <t>33100-5716463-5</t>
  </si>
  <si>
    <t>Chak no. 83 GB, Malomawan, Faisalabad</t>
  </si>
  <si>
    <t>03067175083</t>
  </si>
  <si>
    <t>https://drive.google.com/open?id=1Uf9leQN_yQ7Es_v59cuHDCXKMki2pi-t</t>
  </si>
  <si>
    <t>https://drive.google.com/open?id=1w40saf8JdHcBM1XWT2_TtdX5Mt3-CEIx</t>
  </si>
  <si>
    <t>https://drive.google.com/open?id=1Y7Ig2_BBv7vnhpgGEBLQE8Iu8DE-7hFj</t>
  </si>
  <si>
    <t>https://drive.google.com/open?id=1sHVzg_GgUrbSztZut8l6-XZWL1lubPTq</t>
  </si>
  <si>
    <t>uzmamaira30@gmail.com</t>
  </si>
  <si>
    <t>03189838675</t>
  </si>
  <si>
    <t>Maira Khurram</t>
  </si>
  <si>
    <t xml:space="preserve">Khurram Shahbaz </t>
  </si>
  <si>
    <t>33102-3084297-8</t>
  </si>
  <si>
    <t xml:space="preserve">282/c gulfishan colony jhang road Faisalabad </t>
  </si>
  <si>
    <t>Khurram Shahbaz</t>
  </si>
  <si>
    <t>03339938675</t>
  </si>
  <si>
    <t>khurramshahbaz042@gmail.com</t>
  </si>
  <si>
    <t>https://drive.google.com/open?id=1SruYOICP7VCNJlcHvZ1pB3plhjo9jctM</t>
  </si>
  <si>
    <t>https://drive.google.com/open?id=1tASHlMxIUEUeCMB22ATpsh0XOkLLOKOM</t>
  </si>
  <si>
    <t>https://drive.google.com/open?id=1Z9-IvBTZZnMoFxznKCNiozckkTqkb_Hp</t>
  </si>
  <si>
    <t>https://drive.google.com/open?id=1Kb90YEVPbjXy1Yaxe8qaMIeW-ZHdn9XV</t>
  </si>
  <si>
    <t>azadarhussain28422@gmail.com</t>
  </si>
  <si>
    <t>03424692368</t>
  </si>
  <si>
    <t xml:space="preserve">Azadar Hussain </t>
  </si>
  <si>
    <t xml:space="preserve">Khan Muhammad </t>
  </si>
  <si>
    <t>33104-0402526-7</t>
  </si>
  <si>
    <t>368 GB jhok Rihan ,jaranwala</t>
  </si>
  <si>
    <t>03048887368</t>
  </si>
  <si>
    <t>No</t>
  </si>
  <si>
    <t>https://drive.google.com/open?id=16lXxVptAA-wc6Oo3-7BmJxlmQs2-7RX2</t>
  </si>
  <si>
    <t>https://drive.google.com/open?id=1MrG2mWyyj24IU80zeOxv_CfZQIGjCq3-</t>
  </si>
  <si>
    <t>https://drive.google.com/open?id=1EDiGliAUASNV8c9WRwAZtaSGu4CMivw9</t>
  </si>
  <si>
    <t>https://drive.google.com/open?id=1IWkLX1PQZOFftIKEin37gn01Y8uTww6u</t>
  </si>
  <si>
    <t>m.umaarr33@gmail.com</t>
  </si>
  <si>
    <t>03356806746</t>
  </si>
  <si>
    <t>Muhammad Umar</t>
  </si>
  <si>
    <t>Muhammad Yasin</t>
  </si>
  <si>
    <t>P#90/2, street no.1, Mian Colony, near Ayesha Masjid, Faisalabad</t>
  </si>
  <si>
    <t>03339929485</t>
  </si>
  <si>
    <t>https://drive.google.com/open?id=1WPeQ0wjdulnr0QV6UpyFdhUP5H5cApzw</t>
  </si>
  <si>
    <t>https://drive.google.com/open?id=1utuzvy9GgdN7Rh7Y2O21I9ncp6iVflc9</t>
  </si>
  <si>
    <t>https://drive.google.com/open?id=1QTjgm6dWGaZaZf2RTYepHWPJTnfGXSPi</t>
  </si>
  <si>
    <t>https://drive.google.com/open?id=10XtA9USa5A-MVhcphLx67KcI56jKGpws</t>
  </si>
  <si>
    <t>harmainrouf@gmail.com</t>
  </si>
  <si>
    <t>03126366918</t>
  </si>
  <si>
    <t xml:space="preserve">Harmain </t>
  </si>
  <si>
    <t xml:space="preserve">Abdul rouf </t>
  </si>
  <si>
    <t xml:space="preserve">House no 10 st no 9 muhallah takia chawk kharak Multan road Lahore </t>
  </si>
  <si>
    <t>03217788066</t>
  </si>
  <si>
    <t>abdulroufgill77gmail.com</t>
  </si>
  <si>
    <t>https://drive.google.com/open?id=1ruh8iPdvRx-cLo8R6oDFn-lZdoMcn7DP</t>
  </si>
  <si>
    <t>https://drive.google.com/open?id=1ATbbJJJGYJctt2N90E5dMz3MHupGU5-F</t>
  </si>
  <si>
    <t>https://drive.google.com/open?id=11U7QglzkZsxu0GYtcTaEZ1x0oH6w99Eo</t>
  </si>
  <si>
    <t>https://drive.google.com/open?id=1GCdKypIc4SPEYgSUuTgu-NNZzzzpdnU1</t>
  </si>
  <si>
    <t>muradumar29@gmail.com</t>
  </si>
  <si>
    <t>03276371996</t>
  </si>
  <si>
    <t>Muhammad Umar Murad</t>
  </si>
  <si>
    <t xml:space="preserve">Hafiz Muhammad Yar </t>
  </si>
  <si>
    <t>31202-5248587-1</t>
  </si>
  <si>
    <t xml:space="preserve">House #295 Block J, Govt. Employees Cooperative Housing Society, Bahawalpur </t>
  </si>
  <si>
    <t>Hafiz Muhammad Yar</t>
  </si>
  <si>
    <t>03037172319</t>
  </si>
  <si>
    <t>kausarfatima2319@gmail.com</t>
  </si>
  <si>
    <t>https://drive.google.com/open?id=17BA6YFhQGiS9rUmZZO7_1J6S2DSwk-Aq</t>
  </si>
  <si>
    <t>https://drive.google.com/open?id=15t2wMlObepkwy8kIJ9bQZ4CagRVF9cJa</t>
  </si>
  <si>
    <t>https://drive.google.com/open?id=1kNgLpazVt7sQwu6yjxfq9UogpBVb4LxG</t>
  </si>
  <si>
    <t>https://drive.google.com/open?id=1iLyh1unVPafxTwADAam9wlLbc51uPpmg</t>
  </si>
  <si>
    <t>74-A,officers colony no2,madina town,khurram chowk,fsd</t>
  </si>
  <si>
    <t>Muhammadnaeemdr@yahoo.com</t>
  </si>
  <si>
    <t>https://drive.google.com/open?id=1e_u0BIPOD3KWzpAvQVtIW3HMXD2ftXdc</t>
  </si>
  <si>
    <t>https://drive.google.com/open?id=14xOxfuuO6ZVlI2219NDGWK9uUCCJqqCz</t>
  </si>
  <si>
    <t>https://drive.google.com/open?id=15FQJ9v7cR-ibNGebEcTmt5LSAAIXDfas</t>
  </si>
  <si>
    <t>https://drive.google.com/open?id=10dsyDDrdJQ5m3qePMdq0hKFQ57wEKLD2</t>
  </si>
  <si>
    <t>ayeshaqaiser56@gmail.com</t>
  </si>
  <si>
    <t>03048880798</t>
  </si>
  <si>
    <t>Ayesha qaiser</t>
  </si>
  <si>
    <t>Qaiser saddiq sheikh</t>
  </si>
  <si>
    <t>Tariqabaad near new sabzi mandi house no 191 khanewal</t>
  </si>
  <si>
    <t>Tehmina murtaza</t>
  </si>
  <si>
    <t>03045336548</t>
  </si>
  <si>
    <t>subhansheikh2997@gmail.com</t>
  </si>
  <si>
    <t>https://drive.google.com/open?id=1D1Rgw6a9sa-wasIOchledmkkSbctZg2X</t>
  </si>
  <si>
    <t>https://drive.google.com/open?id=1VRjd5iIXbcjrGwhGGT0WNxkEBxz_TLh4</t>
  </si>
  <si>
    <t>https://drive.google.com/open?id=13cLSQsiaaP5-XzBD0hlR5NVKgrpVldU2</t>
  </si>
  <si>
    <t>https://drive.google.com/open?id=1wjLIza2MfzHOXetBtpsqJhnW9OFUe3i-</t>
  </si>
  <si>
    <t>hassangill5533@gmail.com</t>
  </si>
  <si>
    <t>03427854975</t>
  </si>
  <si>
    <t>Muhammad Usman</t>
  </si>
  <si>
    <t>Arif Ali</t>
  </si>
  <si>
    <t xml:space="preserve">Village #54JB Dhotian faisalabad </t>
  </si>
  <si>
    <t>03427730113</t>
  </si>
  <si>
    <t>rashidsharif1190@gmail.com</t>
  </si>
  <si>
    <t>0305 6663342</t>
  </si>
  <si>
    <t xml:space="preserve">Ayesha Rashid </t>
  </si>
  <si>
    <t xml:space="preserve">Muhammad Rashid </t>
  </si>
  <si>
    <t>33100 3367539 8</t>
  </si>
  <si>
    <t xml:space="preserve">P-45,Sir Syed Avenue, Motorway City, Sargodha Road , Faisalabad </t>
  </si>
  <si>
    <t>0300 6651164</t>
  </si>
  <si>
    <t>faranassociates119@gmail.com</t>
  </si>
  <si>
    <t>https://drive.google.com/open?id=1vP-u7x-mO9JcxiAjwj0HaEAqOB11FSo1</t>
  </si>
  <si>
    <t>https://drive.google.com/open?id=1edDy9X6_JdZm6DiMq2xhj8KvMKxCVT-b</t>
  </si>
  <si>
    <t>https://drive.google.com/open?id=16QHz8ehABqFXfB4xP4BgEHPk8XZKmiyW</t>
  </si>
  <si>
    <t>https://drive.google.com/open?id=13xIryjRjWQyi4zsJR9DjRHM5xeB1XUf7</t>
  </si>
  <si>
    <t>azkadawood2006@gmail.com</t>
  </si>
  <si>
    <t>03132848649</t>
  </si>
  <si>
    <t xml:space="preserve">Azka Dawood </t>
  </si>
  <si>
    <t xml:space="preserve">Muhammad Dawood Akhtar </t>
  </si>
  <si>
    <t xml:space="preserve">Plot 26A street 4 phase 1 Rehman village Jhang road faisalabad </t>
  </si>
  <si>
    <t>03040119524</t>
  </si>
  <si>
    <t>dawoodakhtar812@gmail.com</t>
  </si>
  <si>
    <t>https://drive.google.com/open?id=1BWtDqY8sEpUPKyeHhfdS5sRGxYeUcz9J</t>
  </si>
  <si>
    <t>https://drive.google.com/open?id=1bC_uRqBdInTQZ-d035sZpKSrK4ROaY-f</t>
  </si>
  <si>
    <t>https://drive.google.com/open?id=1bZHFDM8400isTippBs67j6lbHCUcUbTV</t>
  </si>
  <si>
    <t>https://drive.google.com/open?id=1lVnb0kesmmMcE6jrCq2bAvyoB_fJqGFu</t>
  </si>
  <si>
    <t>ahmad.7gpb3@gmail.com</t>
  </si>
  <si>
    <t>03040455055</t>
  </si>
  <si>
    <t>Ahmad Raza</t>
  </si>
  <si>
    <t>Muhammad Bashir</t>
  </si>
  <si>
    <t>Sandhilianwali tensil Pirmahal</t>
  </si>
  <si>
    <t xml:space="preserve">Muhammad Bashir </t>
  </si>
  <si>
    <t>03026371800</t>
  </si>
  <si>
    <t>ahmad.5wgi@gmail.com</t>
  </si>
  <si>
    <t>https://drive.google.com/open?id=1Qc4Y04HIjV5rBEczB4jyuuY2mTE0P52Q</t>
  </si>
  <si>
    <t>https://drive.google.com/open?id=1P3t9DcyH6VfY08keDWDtFrOUuTjuiThO</t>
  </si>
  <si>
    <t>https://drive.google.com/open?id=15Q3sOSCsJ6U_jC2XVbUbRjoi51X5cF-w</t>
  </si>
  <si>
    <t>https://drive.google.com/open?id=1vry6UqzFCqsqkgbt9_aJR0rC3D5tnEqI</t>
  </si>
  <si>
    <t>ranaahehroze142@gmail.com</t>
  </si>
  <si>
    <t>03007672767</t>
  </si>
  <si>
    <t xml:space="preserve">MUHAMMAD SHEHROZE SHAHID </t>
  </si>
  <si>
    <t xml:space="preserve">SHAHID MAHMOOD </t>
  </si>
  <si>
    <t xml:space="preserve">P 98 street no 6 Mujahid town Dhudiwala Jaranwala road Faisalabad </t>
  </si>
  <si>
    <t xml:space="preserve">SAIMA MUNAWAR </t>
  </si>
  <si>
    <t>03076095368</t>
  </si>
  <si>
    <t>https://drive.google.com/open?id=1uFfpE9gwlRuSJ5nSAxseRF1RtcuFsEYM</t>
  </si>
  <si>
    <t>https://drive.google.com/open?id=1aiPCz6Hr6rV83nn9Kwms9c_jf4psvSFq</t>
  </si>
  <si>
    <t>https://drive.google.com/open?id=1pCm_QAzPwLTHsnnHzI-bFfOhFlGr8Tmx</t>
  </si>
  <si>
    <t>https://drive.google.com/open?id=1sPGcS49VxqduwWWBPDviW1FohmdOyQrO</t>
  </si>
  <si>
    <t>asadali.ali146@gmail.com</t>
  </si>
  <si>
    <t>drtahaali234@gmail.com</t>
  </si>
  <si>
    <t>03002692470</t>
  </si>
  <si>
    <t>TAHA ALI</t>
  </si>
  <si>
    <t>ZULFIQAR ALI</t>
  </si>
  <si>
    <t>33100-6376959-3</t>
  </si>
  <si>
    <t xml:space="preserve">HOUSE # 234 C BLOCK LIAQAT CHOWCK GHULAM MUHAMMAD ABAD FAISALABAD </t>
  </si>
  <si>
    <t>Asad Ali</t>
  </si>
  <si>
    <t>ELDER BROTHER</t>
  </si>
  <si>
    <t>03217693170</t>
  </si>
  <si>
    <t>https://drive.google.com/open?id=1O8m8kz7ueaDi7WzndHocYfpc_WsobrS9</t>
  </si>
  <si>
    <t>https://drive.google.com/open?id=1rrpXQXkZWbYChBZ3VwNYKtrGXywkxtkI</t>
  </si>
  <si>
    <t>https://drive.google.com/open?id=1sJbECN7pmveUdRIniqthSEpTtXe5r9qV</t>
  </si>
  <si>
    <t>https://drive.google.com/open?id=16TthssLPWY9XnDUS7GVZb94n0yNzhKQy</t>
  </si>
  <si>
    <t>abdullah.t3007@gmail.com</t>
  </si>
  <si>
    <t>03210120066</t>
  </si>
  <si>
    <t>Abdullah Tahir</t>
  </si>
  <si>
    <t>Hafiz Zia Ul Haq Tahir</t>
  </si>
  <si>
    <t>33100-1526828-5</t>
  </si>
  <si>
    <t xml:space="preserve">House No. 48 Street No.1 Sarfraz colony  Near Fawar Chowk People's colony No.1 Faisalabad </t>
  </si>
  <si>
    <t>Qamar Ul Haq Abid</t>
  </si>
  <si>
    <t xml:space="preserve">Uncle </t>
  </si>
  <si>
    <t>03216661200</t>
  </si>
  <si>
    <t>Ahzhtahir@gmail.com</t>
  </si>
  <si>
    <t>https://drive.google.com/open?id=1ycOECg9bnikD5A7XvULom39wReqV7l5a</t>
  </si>
  <si>
    <t>https://drive.google.com/open?id=1VidNgaluB1TiK7jAQPVCQr1sZhGfr-T_</t>
  </si>
  <si>
    <t>https://drive.google.com/open?id=1I76oytP3I5ViVog2rrmmakfRAja_N59B</t>
  </si>
  <si>
    <t>https://drive.google.com/open?id=1NWg6ShUPFU3CpKeD2fkfu_E0O6W_vlzB</t>
  </si>
  <si>
    <t>husnainfarooq3012@gmail.com</t>
  </si>
  <si>
    <t>03266883535</t>
  </si>
  <si>
    <t>Husnain Farooq</t>
  </si>
  <si>
    <t>Muhammad Boota</t>
  </si>
  <si>
    <t>House No. P-823 Ghulam Muhammad abad No.1 Faisalabad</t>
  </si>
  <si>
    <t>03217809771</t>
  </si>
  <si>
    <t>mboota1571@gmail.com</t>
  </si>
  <si>
    <t>https://drive.google.com/open?id=1Z3DKGH_sKUWgpeI86CoJ8Dp966Y2WCta</t>
  </si>
  <si>
    <t>https://drive.google.com/open?id=1FI25XqDvJ2Y0dfVKSHAToSQV6udQHh7c</t>
  </si>
  <si>
    <t>https://drive.google.com/open?id=1qX5aEK0mwnHuAYeSdGCv3w86uVme5aJT</t>
  </si>
  <si>
    <t>https://drive.google.com/open?id=1UgnKLBNbVggw4MBJvqwHWArg069w4IcL</t>
  </si>
  <si>
    <t>imabdullahhaider@gmail.com</t>
  </si>
  <si>
    <t>03212013013</t>
  </si>
  <si>
    <t xml:space="preserve">Abdullah Haider </t>
  </si>
  <si>
    <t xml:space="preserve">Liaqat Ali </t>
  </si>
  <si>
    <t xml:space="preserve">Moh. Rao Imdad House Darya Khan District Bhakkar </t>
  </si>
  <si>
    <t>03330614414</t>
  </si>
  <si>
    <t>ranaliaqatali41@gmail.com</t>
  </si>
  <si>
    <t>https://drive.google.com/open?id=1INCzQnKOV6O1E6o8QiR6IenBqTPgHnxp</t>
  </si>
  <si>
    <t>https://drive.google.com/open?id=1BTuCI1v8WpzPCaJ3_yCUvsaWSQeTbDxb</t>
  </si>
  <si>
    <t>https://drive.google.com/open?id=1DT7ImcXCNdM7NuZOARdaxrVEXS1gXo0T</t>
  </si>
  <si>
    <t>https://drive.google.com/open?id=1_Q1RfV-SQQ664l0a3iANLM_9sNdob_n4</t>
  </si>
  <si>
    <t>hafizmoeezch@gmail.com</t>
  </si>
  <si>
    <t>0313 4064656</t>
  </si>
  <si>
    <t xml:space="preserve">Moeez Ahmad Shami </t>
  </si>
  <si>
    <t xml:space="preserve">Muhammad Arshad </t>
  </si>
  <si>
    <t xml:space="preserve">35303-0392180-9 </t>
  </si>
  <si>
    <t>72B housing scheme,  Renala khurd, District, Okara</t>
  </si>
  <si>
    <t>0300 7534271</t>
  </si>
  <si>
    <t>wasifshami097@gmail.com</t>
  </si>
  <si>
    <t>https://drive.google.com/open?id=1rcXwwgKR1BPLMtzWtJNeTls6ItpRINEc</t>
  </si>
  <si>
    <t>https://drive.google.com/open?id=1J-LyreV4MXguaGPGOJJsgc4maTC_2EY3</t>
  </si>
  <si>
    <t>https://drive.google.com/open?id=1hOiUXktQ1-HtKWD2JIulAmkpAxBawy01</t>
  </si>
  <si>
    <t>https://drive.google.com/open?id=1y9auqtBWF_CXZlp9cJf_HXDo5taEdYiE</t>
  </si>
  <si>
    <t>drmahnoorfatima47@gmail.com</t>
  </si>
  <si>
    <t>03366476406</t>
  </si>
  <si>
    <t>Mahnoor Fatima</t>
  </si>
  <si>
    <t>Asif Hussain Aslam</t>
  </si>
  <si>
    <t xml:space="preserve">Near laal darwesh road house no.458 mohallah chah Kamal bhakkar </t>
  </si>
  <si>
    <t xml:space="preserve">Asif Hussain Aslam </t>
  </si>
  <si>
    <t>03338041590</t>
  </si>
  <si>
    <t>asifbk08@gmail.com</t>
  </si>
  <si>
    <t>https://drive.google.com/open?id=1WdoMVy-f2TYbQVD3F6sMr6nqm5s41xcx</t>
  </si>
  <si>
    <t>https://drive.google.com/open?id=1g8RI0Ylf8cwnIYjXTd9VTBtHxKuBycco</t>
  </si>
  <si>
    <t>https://drive.google.com/open?id=1ICkcLdGLvX2rlLAzCtC-QXSfcyCkwvk8</t>
  </si>
  <si>
    <t>https://drive.google.com/open?id=182FBadN0MA2-EvXsP6AfB1rnzEfgtU9w</t>
  </si>
  <si>
    <t>uhammadshakeel1266@gmail.com</t>
  </si>
  <si>
    <t>03137890275</t>
  </si>
  <si>
    <t xml:space="preserve">Muhammad Shakeel </t>
  </si>
  <si>
    <t xml:space="preserve">Ghulam Yasin </t>
  </si>
  <si>
    <t>38101-2029797-1</t>
  </si>
  <si>
    <t xml:space="preserve">Razi Shah Janoobi p/o Notak Tehsil and District Bhakkar </t>
  </si>
  <si>
    <t>MBbS</t>
  </si>
  <si>
    <t>0341 7289290</t>
  </si>
  <si>
    <t>ahmedshakeel555ilms@gmail.com</t>
  </si>
  <si>
    <t>https://drive.google.com/open?id=1KCahMMseoR-K9fgmG4kT77q9xh_O52Vw</t>
  </si>
  <si>
    <t>https://drive.google.com/open?id=1uwbJTOJVHjUjZbKMHKFYmsiuSiqSvVDx</t>
  </si>
  <si>
    <t>https://drive.google.com/open?id=156z26RbINptfoAth6DbTGHei42fINVLS</t>
  </si>
  <si>
    <t>https://drive.google.com/open?id=1y77yJ_4odvD0TZ1wb7hVs9fd_0PUXzt_</t>
  </si>
  <si>
    <t>khadijashahid466@gmail.com</t>
  </si>
  <si>
    <t>03086652328</t>
  </si>
  <si>
    <t>Khadija Shahid</t>
  </si>
  <si>
    <t xml:space="preserve">Shahid Mahboob </t>
  </si>
  <si>
    <t>33102-7529106-8</t>
  </si>
  <si>
    <t xml:space="preserve">House no 845 D block Millat Town Faisalabad </t>
  </si>
  <si>
    <t>03086652324</t>
  </si>
  <si>
    <t>drshahidmahboob@gmail.com</t>
  </si>
  <si>
    <t>https://drive.google.com/open?id=1yKMiDnHnANOB8nhejcOsAuiFXTyIIlw_</t>
  </si>
  <si>
    <t>https://drive.google.com/open?id=1Xvb-txbtHlAo4QZix18XJ2fY1U3Eadqm</t>
  </si>
  <si>
    <t>https://drive.google.com/open?id=1fDabZoNnD12-e-We9mGlzWznINNDmPWN</t>
  </si>
  <si>
    <t>https://drive.google.com/open?id=1A_tinj30e8ndFenU0MHjpQXBjBbN1Fr3</t>
  </si>
  <si>
    <t xml:space="preserve">P112/17A Al-fiaz colony Faisalabad </t>
  </si>
  <si>
    <t xml:space="preserve">mianmubashir780@gmail.com </t>
  </si>
  <si>
    <t>https://drive.google.com/open?id=1MsYh1GpGPjBYftrMaS2gr0VWzoJ7kXlA</t>
  </si>
  <si>
    <t>https://drive.google.com/open?id=1Uuo7G4ne0BRJK_1jMwyym5-gHQ-5U5v4</t>
  </si>
  <si>
    <t>https://drive.google.com/open?id=1luqBB3V2bwQUHftaDmx8a3Fa1amGw4yl</t>
  </si>
  <si>
    <t>https://drive.google.com/open?id=1ysHXdpAWfv-zJFd1QpZeHNqouy9GOIp6</t>
  </si>
  <si>
    <t>MUHAMMAD HASSAN ZOHAIB</t>
  </si>
  <si>
    <t>Chak no 113 JB Phallahi</t>
  </si>
  <si>
    <t>MBBD</t>
  </si>
  <si>
    <t>https://drive.google.com/open?id=1ReBePseDdoeaRlqRTkwkdYvdK417vYmx</t>
  </si>
  <si>
    <t>https://drive.google.com/open?id=1hV3QLDlzAPlFzPdTTNTGpVHmK2C_3Hv3</t>
  </si>
  <si>
    <t>https://drive.google.com/open?id=1QYaEfWAIPFEDq6wsCbbfIXMYZv1Lo3eX</t>
  </si>
  <si>
    <t>https://drive.google.com/open?id=1OZj7eGToWFPwrDHfILZIiDtAqGA2obpb</t>
  </si>
  <si>
    <t>af.fsd2007@gmail.com</t>
  </si>
  <si>
    <t>03324318039</t>
  </si>
  <si>
    <t xml:space="preserve">Areej Fatima </t>
  </si>
  <si>
    <t>Hamid Shabbir</t>
  </si>
  <si>
    <t>Vanikey road,Mohallah Taj colony,Hafizabad</t>
  </si>
  <si>
    <t>06</t>
  </si>
  <si>
    <t xml:space="preserve">Hamid Shabbir </t>
  </si>
  <si>
    <t>03334503371</t>
  </si>
  <si>
    <t>hamid_sadi2002@yahoo.com</t>
  </si>
  <si>
    <t>mdua2918@gmail.com</t>
  </si>
  <si>
    <t>03411192933</t>
  </si>
  <si>
    <t>Muqaddas Dua</t>
  </si>
  <si>
    <t xml:space="preserve">Allah Bakhsh </t>
  </si>
  <si>
    <t>33202-5962919-0</t>
  </si>
  <si>
    <t xml:space="preserve">Mohallah dawod Shah ward no 8 house no 111 near Masjid Farooqia Jhang city </t>
  </si>
  <si>
    <t>Areeba Malik</t>
  </si>
  <si>
    <t>Sister</t>
  </si>
  <si>
    <t>03280195399</t>
  </si>
  <si>
    <t>areebaareebamalik8@gmail.com</t>
  </si>
  <si>
    <t>https://drive.google.com/open?id=1fkfUrNZ_ANK1vs1yxk16SGQYfWcXTinI</t>
  </si>
  <si>
    <t>https://drive.google.com/open?id=1hTk-AFJ4ymQMzUvOz-QxSMvEYBhddb6g</t>
  </si>
  <si>
    <t>https://drive.google.com/open?id=1SnPxG8hyxMVreRUVa1o_fyXlOn9cvN2Y</t>
  </si>
  <si>
    <t>https://drive.google.com/open?id=17uajPf8cAjVAPAVk3OVSmz3SkCn8mJHB</t>
  </si>
  <si>
    <t>ahmed6063.hussain@gmail.com</t>
  </si>
  <si>
    <t>ahmed6063.hissaun@gmail.com</t>
  </si>
  <si>
    <t>03236063574</t>
  </si>
  <si>
    <t>Maham Fatima</t>
  </si>
  <si>
    <t>Nadeem Javed</t>
  </si>
  <si>
    <t>61101-8786817-6</t>
  </si>
  <si>
    <t>House 244, J-Block, Tech Town, Satyana Road, Faisalabad</t>
  </si>
  <si>
    <t>Aisha Hussain</t>
  </si>
  <si>
    <t>03217843767</t>
  </si>
  <si>
    <t>inadeemjaved@gmail.com</t>
  </si>
  <si>
    <t>https://drive.google.com/open?id=12uQYR_jZ0VbP-w_-WV14vXCVlJrURR-N</t>
  </si>
  <si>
    <t>https://drive.google.com/open?id=1ZmlyRa1v3HWEY893up_GAROcmoy9TDdW</t>
  </si>
  <si>
    <t>https://drive.google.com/open?id=1A9re_awcCbfG-TNjZF9SplgFEImqqdIP</t>
  </si>
  <si>
    <t>https://drive.google.com/open?id=121DSQlYN5uIVzbSpjEW5RXrOQQwitNZv</t>
  </si>
  <si>
    <t>ayeshanarmeen61@gmail.com</t>
  </si>
  <si>
    <t>+923147989690</t>
  </si>
  <si>
    <t xml:space="preserve">AYESHA NARMEEN </t>
  </si>
  <si>
    <t xml:space="preserve">Muhammad Nadeem Tahir </t>
  </si>
  <si>
    <t xml:space="preserve">Rachna town no.1, street no 1, house P59/C ,satyana road, Faisalabad </t>
  </si>
  <si>
    <t>+923006669690</t>
  </si>
  <si>
    <t>drnadeemtahir01@gmail.com</t>
  </si>
  <si>
    <t>https://drive.google.com/open?id=1EZjjVzW1-4J2U_Ox9cocSJ4jqeXsml8C</t>
  </si>
  <si>
    <t>https://drive.google.com/open?id=1suldwiPweG7CY_HnEi-pOlFJ_jdPRIX1</t>
  </si>
  <si>
    <t>https://drive.google.com/open?id=1f0H6rNtruTMFe6cb60N--3yEgefylBOc</t>
  </si>
  <si>
    <t>Manaum Fatima</t>
  </si>
  <si>
    <t>61101-0867247-4</t>
  </si>
  <si>
    <t>https://drive.google.com/open?id=1OKnsIzQZJvii2SPGtxYqgZ3e1BKzxNrk</t>
  </si>
  <si>
    <t>https://drive.google.com/open?id=1vSAL9G1Zg4PvbgIXzNo17y7VBRr_5YER</t>
  </si>
  <si>
    <t>https://drive.google.com/open?id=18-wIPdx98FWZEvMuqbIJwyeBxEtqKDTc</t>
  </si>
  <si>
    <t>https://drive.google.com/open?id=18-hHB-ME1oBdQhuY5gFQLuB2f5AAF31z</t>
  </si>
  <si>
    <t>muhammadasadmajeed062@gmail.com</t>
  </si>
  <si>
    <t>03025720955</t>
  </si>
  <si>
    <t>Muhammad Asad Majeed</t>
  </si>
  <si>
    <t>Abdul Majeed</t>
  </si>
  <si>
    <t>35503-0155664-7</t>
  </si>
  <si>
    <t>chak no.202 RB Bhaiwala Near noori mosque , Faisalabad</t>
  </si>
  <si>
    <t>03316905002</t>
  </si>
  <si>
    <t>muhammadsalman1472001@gmail.com</t>
  </si>
  <si>
    <t>https://drive.google.com/open?id=1EUx2FD36nDKRJ5bK08RKOMLfL3a04FzC</t>
  </si>
  <si>
    <t>https://drive.google.com/open?id=167M7V8kqAeDTG8pz9f384YCd1PSOxEXq</t>
  </si>
  <si>
    <t>https://drive.google.com/open?id=1GXhzSJVw-ngtYf25I4I3gZTM4o2aLBTq</t>
  </si>
  <si>
    <t>https://drive.google.com/open?id=1r5RLqKfCoI3GlRI0kARaVumwV_Zvh3eD</t>
  </si>
  <si>
    <t>zunairaabid029@gmail.com</t>
  </si>
  <si>
    <t>03231234029</t>
  </si>
  <si>
    <t>Zaibi Abid</t>
  </si>
  <si>
    <t>Abid Mahmood Khan</t>
  </si>
  <si>
    <t>33102-3347784-6</t>
  </si>
  <si>
    <t>224 RB Wazir Khan Wali Mohalla Bilal Nagar Street no.6 Faisalabad</t>
  </si>
  <si>
    <t xml:space="preserve">Abid Mahmood Khan </t>
  </si>
  <si>
    <t>03007675884</t>
  </si>
  <si>
    <t>ranaabidkhan029@gmail.com</t>
  </si>
  <si>
    <t>https://drive.google.com/open?id=1NuFR2XveVNkb1mLP2ufX77oar_-2I97h</t>
  </si>
  <si>
    <t>https://drive.google.com/open?id=14iCaBTxS2N5WUj542NdZLoSRoVaPzVgZ</t>
  </si>
  <si>
    <t>https://drive.google.com/open?id=14aYHfH3gFT8nrc3A4ylYP5MAPJxPIHDE</t>
  </si>
  <si>
    <t>https://drive.google.com/open?id=1-neC4nUyxM90vNZutY_ANe3Rwaur0qa7</t>
  </si>
  <si>
    <t>aminahussain2710@gmail.com</t>
  </si>
  <si>
    <t>0330-3412193</t>
  </si>
  <si>
    <t xml:space="preserve">Amina Hussain </t>
  </si>
  <si>
    <t>33105-6107190-6</t>
  </si>
  <si>
    <t xml:space="preserve">Chak no.193 G.B. (South), Samundri, Faisalabad </t>
  </si>
  <si>
    <t>0333-3382193</t>
  </si>
  <si>
    <t>muhammadhussain9391@gmail.com</t>
  </si>
  <si>
    <t>https://drive.google.com/open?id=1YljIreONljXMg9W_WiOE2CNj_LPbq9-w</t>
  </si>
  <si>
    <t>https://drive.google.com/open?id=1mf5wMgGoevAdu43H9qpgA0etJLXFSjh-</t>
  </si>
  <si>
    <t>https://drive.google.com/open?id=1QnVr_0uuo58g9vjG_mf20aVmpKwI09Xt</t>
  </si>
  <si>
    <t>https://drive.google.com/open?id=1J8NiBJjyKAHKo8xRawDBZHywqmqD1hh4</t>
  </si>
  <si>
    <t>abdulqec@gmail.com</t>
  </si>
  <si>
    <t xml:space="preserve">0300 7287664 </t>
  </si>
  <si>
    <t>Javeria Salam</t>
  </si>
  <si>
    <t>Abdul Salam</t>
  </si>
  <si>
    <t>33103-4642438-6</t>
  </si>
  <si>
    <t xml:space="preserve">New Green Town, Street no. 3, Millat Road, Faisalabad </t>
  </si>
  <si>
    <t>0307 4158359</t>
  </si>
  <si>
    <t>amnasalam2927@gmail.com</t>
  </si>
  <si>
    <t>https://drive.google.com/open?id=10-FWSIAs0xiYvnzolmo693x7eLHn-SSR</t>
  </si>
  <si>
    <t>https://drive.google.com/open?id=1aY6bpLXs2JM8OGbBcqPqrYS-93TMIR_P</t>
  </si>
  <si>
    <t>https://drive.google.com/open?id=1Z9HQfAWkl2Wxieu1w61bb6Jk0Cbo_w12</t>
  </si>
  <si>
    <t>https://drive.google.com/open?id=1g4c1ESrYxhgm1InyrEISpYYTlKgjw76w</t>
  </si>
  <si>
    <t>ridaaly1828@gmail.com</t>
  </si>
  <si>
    <t>03030111987</t>
  </si>
  <si>
    <t xml:space="preserve">Rida Ali </t>
  </si>
  <si>
    <t>Ali Murtaza Tahir</t>
  </si>
  <si>
    <t>33100-9705269-8</t>
  </si>
  <si>
    <t>New haseeb shaheed colony ,Raheem block P41 ,</t>
  </si>
  <si>
    <t>03339913488</t>
  </si>
  <si>
    <t>https://drive.google.com/open?id=1B5HkIclXIMQrHJJzMgAxym3e5GMj-VfT</t>
  </si>
  <si>
    <t>https://drive.google.com/open?id=1VpSCCp8IPVam7UPaeO-PaAMF5oMYWHD5</t>
  </si>
  <si>
    <t>https://drive.google.com/open?id=14SvNfh80CtMwxuBFvdi0lH-CIkUzDJPw</t>
  </si>
  <si>
    <t>mqumarrizwan731@gmail.com</t>
  </si>
  <si>
    <t>03442922278</t>
  </si>
  <si>
    <t xml:space="preserve">Muhammad Qumar Rizwan </t>
  </si>
  <si>
    <t xml:space="preserve">Gulzar Ahmad </t>
  </si>
  <si>
    <t xml:space="preserve">Chah Joiyan Wala Moza Turbat Haji Shah post office Mandi Shah Jewana Tehsil and District Jhang </t>
  </si>
  <si>
    <t>03447953366</t>
  </si>
  <si>
    <t>munawarramzan39@gmail.com</t>
  </si>
  <si>
    <t>https://drive.google.com/open?id=17zBSZqY6z6WBI224MvcrVTxDZdP5oiU9</t>
  </si>
  <si>
    <t>https://drive.google.com/open?id=1hA-1H4zUq_DTutTA4oCj3CSG3wIn3yJn</t>
  </si>
  <si>
    <t>https://drive.google.com/open?id=1t1IgrqK9I1b1DHQuMa8v_sSddxK5es0d</t>
  </si>
  <si>
    <t>https://drive.google.com/open?id=15AFKs-louKJt25O4Ldap4Z1UuRvLk7n-</t>
  </si>
  <si>
    <t>faisal1020muhammad@gmail.com</t>
  </si>
  <si>
    <t>03181659941</t>
  </si>
  <si>
    <t xml:space="preserve">Muhammad Faisal </t>
  </si>
  <si>
    <t xml:space="preserve">Muhammad jamil </t>
  </si>
  <si>
    <t xml:space="preserve">Pakpattan </t>
  </si>
  <si>
    <t>Muhammad jamil</t>
  </si>
  <si>
    <t>https://drive.google.com/open?id=1dY8JSeAsY-P__FH5zFoFD5oVCnmV--1k</t>
  </si>
  <si>
    <t>https://drive.google.com/open?id=1MNCPsTlXRPQYHCfRZlub7Z1eHxhrEL5M</t>
  </si>
  <si>
    <t>https://drive.google.com/open?id=1H-uckVVtL_0B_7K8J5rDAfjzCYDA3Tqq</t>
  </si>
  <si>
    <t>https://drive.google.com/open?id=1GL8w7K63RQnFr3JxGQspUzP5cJmMkwTh</t>
  </si>
  <si>
    <t>zaeemtahirana4695@gmail.com</t>
  </si>
  <si>
    <t>0329-5244483</t>
  </si>
  <si>
    <t xml:space="preserve">Zaeem Tahir Rana </t>
  </si>
  <si>
    <t>Muhammad Tahir Nawaz</t>
  </si>
  <si>
    <t>35202-8412970-3</t>
  </si>
  <si>
    <t>Lahore</t>
  </si>
  <si>
    <t xml:space="preserve">Muhammad Tahir Nawaz </t>
  </si>
  <si>
    <t>0321-8859490</t>
  </si>
  <si>
    <t>tahirnawaz74@gmail.com</t>
  </si>
  <si>
    <t>https://drive.google.com/open?id=1fTRXLmXjOlUH5b4x02tDoZRVOSIpWluK</t>
  </si>
  <si>
    <t>https://drive.google.com/open?id=161gx9DMp_XM07T46_p_bOnu8QKbA8GXV</t>
  </si>
  <si>
    <t>https://drive.google.com/open?id=1J_1FHT8zOvTE_w2HtqPL0Q9ocplPD9DY</t>
  </si>
  <si>
    <t>https://drive.google.com/open?id=1DQhXQZrXVz6MBxgvp_2ozrqwW72ubakU</t>
  </si>
  <si>
    <t>rehmanarshad4142@gmail.com</t>
  </si>
  <si>
    <t>03289697909</t>
  </si>
  <si>
    <t xml:space="preserve">Abdul Rehman </t>
  </si>
  <si>
    <t xml:space="preserve">Post Office Kot Mithan, Rakh Kot Mithan Tehsil and District Rajanpur </t>
  </si>
  <si>
    <t>03052099836</t>
  </si>
  <si>
    <t>03073987531</t>
  </si>
  <si>
    <t>N/A</t>
  </si>
  <si>
    <t>https://drive.google.com/open?id=1Os9TmwnjAyb2FItqXWj1iJ30KVgpwGaJ</t>
  </si>
  <si>
    <t>https://drive.google.com/open?id=1twNEdulyKUzisZzjTaD4Ej71XmV4XS5C</t>
  </si>
  <si>
    <t>https://drive.google.com/open?id=1CF4MZAJSfH2ABCqpQRm6tu8E4WDK7ODW</t>
  </si>
  <si>
    <t>https://drive.google.com/open?id=1UEErqHDhDt9AOOvR4C0atmzGtlt6hTAV</t>
  </si>
  <si>
    <t>palwishajaved10@gmail.com</t>
  </si>
  <si>
    <t>palwishajaved086@gmail.com</t>
  </si>
  <si>
    <t xml:space="preserve">0306-6057932 </t>
  </si>
  <si>
    <t>Palwisha Javed</t>
  </si>
  <si>
    <t>Javed Iqbal</t>
  </si>
  <si>
    <t xml:space="preserve">33102-0204887-8 </t>
  </si>
  <si>
    <t>Awami town, street no 3, house no 387, near grid station, Jaranwala road  FSD.</t>
  </si>
  <si>
    <t xml:space="preserve">Musarat Jabeen </t>
  </si>
  <si>
    <t xml:space="preserve">0306-6057931 </t>
  </si>
  <si>
    <t>musarratjabeen416@gmail.com</t>
  </si>
  <si>
    <t>https://drive.google.com/open?id=1_jd-OUM8VMj-NomLEB9pFkB0Qo1A2JGE</t>
  </si>
  <si>
    <t>https://drive.google.com/open?id=15m1ntJsLmG7qa0rz_SVc5tlRTBRwjOXa</t>
  </si>
  <si>
    <t>https://drive.google.com/open?id=1brcKEVm1IC8WyYkGedSyKrUvZ-0-NglZ</t>
  </si>
  <si>
    <t>https://drive.google.com/open?id=1pTpiQJ1lpWXionJm-PqB-HrYWO2jucGL</t>
  </si>
  <si>
    <t>sheikhzaviyar.ahmed07@gmail.com</t>
  </si>
  <si>
    <t>03218178047</t>
  </si>
  <si>
    <t>Zaviyar Ahmed</t>
  </si>
  <si>
    <t>Asim Saleem</t>
  </si>
  <si>
    <t>34101-1345393-5</t>
  </si>
  <si>
    <t xml:space="preserve">49 G garden town phase2 rachna road gujranwala </t>
  </si>
  <si>
    <t>03338433761</t>
  </si>
  <si>
    <t>sadafasim07@gmail.com</t>
  </si>
  <si>
    <t>https://drive.google.com/open?id=18kQ5S46odVV-A09i0Zxv42uZkNNnnkJm</t>
  </si>
  <si>
    <t>https://drive.google.com/open?id=1r9_3c0Ba-jsK2K0GIls3DnmVSEFiuu2r</t>
  </si>
  <si>
    <t>https://drive.google.com/open?id=1Np8Kp7RJFmMENgjICoVuAgv3ds6MT-Up</t>
  </si>
  <si>
    <t>https://drive.google.com/open?id=1tY2MngaunJbYtZyyQGiGDVWAHE2nnmkj</t>
  </si>
  <si>
    <t>mdcat.h123@gmail.com</t>
  </si>
  <si>
    <t xml:space="preserve">0318 7221722 </t>
  </si>
  <si>
    <t>Hakim Ali</t>
  </si>
  <si>
    <t>33102-5591723-7</t>
  </si>
  <si>
    <t xml:space="preserve">300-C gulfishan colony ABC road Faisalabad </t>
  </si>
  <si>
    <t>M.B.B.S</t>
  </si>
  <si>
    <t xml:space="preserve">Sumera Noreen </t>
  </si>
  <si>
    <t>0321 3142982</t>
  </si>
  <si>
    <t xml:space="preserve">haq88888888@gmail.com </t>
  </si>
  <si>
    <t>https://drive.google.com/open?id=1wS0SP3svPNMOeDNhwyDgbrGZEfYtDGrB</t>
  </si>
  <si>
    <t>https://drive.google.com/open?id=1qtVGUfeRUn7YBOURYnB0ye6U5YBHtzk7</t>
  </si>
  <si>
    <t>https://drive.google.com/open?id=1nT43_lkWbCzNFtXydT80MIIEjv95-4NZ</t>
  </si>
  <si>
    <t>https://drive.google.com/open?id=1X7MZq9UGCsTPi5ctUCYrAChRYoD3-uCF</t>
  </si>
  <si>
    <t>maryamfatima107rb@gmail.com</t>
  </si>
  <si>
    <t xml:space="preserve">0307 0287575 </t>
  </si>
  <si>
    <t xml:space="preserve">Maryam Fatima </t>
  </si>
  <si>
    <t xml:space="preserve">Ahmad Raza </t>
  </si>
  <si>
    <t>33104-8747723-4</t>
  </si>
  <si>
    <t xml:space="preserve">Chak no 107 RB tehsil Jaranwala district Faisalabad post box no 229 Makkuana </t>
  </si>
  <si>
    <t>0301 7123301</t>
  </si>
  <si>
    <t>ahmadraza107rb@gmail.com</t>
  </si>
  <si>
    <t>https://drive.google.com/open?id=1o2jvOtyJ_TKR7bK36J9SG3hVdV0h2dj9</t>
  </si>
  <si>
    <t>https://drive.google.com/open?id=1yyE6JnGhoc4sxkEWnnVMEiBKccqtBn-m</t>
  </si>
  <si>
    <t xml:space="preserve">Street#10, house#4, goal chok, new green town, millat road faisalabad </t>
  </si>
  <si>
    <t>https://drive.google.com/open?id=1RWm0XiKtv_nWHaEdD35EiLuyMxeAaPj6</t>
  </si>
  <si>
    <t>https://drive.google.com/open?id=1ai-nGpkaMuLskpZohC_sxx94q2bKI9o-</t>
  </si>
  <si>
    <t>https://drive.google.com/open?id=14KsaFhq0PY70Ldg7i7iqyOH8_oe1JX9e</t>
  </si>
  <si>
    <t>https://drive.google.com/open?id=1THM5snj4m60Z-ISaOOOe5hP2XgtWnocs</t>
  </si>
  <si>
    <t xml:space="preserve">Chak no# 131/15.Lmian channu khanewal 
P/O132/16.Lmian channu khanewal </t>
  </si>
  <si>
    <t>https://drive.google.com/open?id=1FsNYpIzPZtv5DEtYK7eZyCXW31PDAN3C</t>
  </si>
  <si>
    <t>https://drive.google.com/open?id=1j2m-M52reDsZaWIEjQfUmknp59mHE4QY</t>
  </si>
  <si>
    <t>https://drive.google.com/open?id=1CPnNQSyrnLppHdHes2XGbi6DprudpNc9</t>
  </si>
  <si>
    <t>https://drive.google.com/open?id=1BnxN4MeMXrK76OjsawYg4iSmdDSwgqMq</t>
  </si>
  <si>
    <t>iftakharnutkana@gmail.com</t>
  </si>
  <si>
    <t>03437502528</t>
  </si>
  <si>
    <t xml:space="preserve">Muhammad Iftikhar Basharat </t>
  </si>
  <si>
    <t xml:space="preserve">Basharat Ali </t>
  </si>
  <si>
    <t xml:space="preserve">Post office pir kot sadhana Tehsil 18 Hazari district Jhang </t>
  </si>
  <si>
    <t>03467200926</t>
  </si>
  <si>
    <t>basharatsial33@gmail.com</t>
  </si>
  <si>
    <t>https://drive.google.com/open?id=1snsjfgjRl1r0rGRcM5oHKKyp51BG_2Yg</t>
  </si>
  <si>
    <t>https://drive.google.com/open?id=1IZHiLqXPkv_v3uSNOJNHPgakKt7wbStr</t>
  </si>
  <si>
    <t>https://drive.google.com/open?id=1CLKEDxejDig2qUsRqShQwNWMa9C2rcY0</t>
  </si>
  <si>
    <t>https://drive.google.com/open?id=1w-diVH74LnwsNsnG8VyOJpeGJZBEfDWn</t>
  </si>
  <si>
    <t>sheharyar9451542@gmail.com</t>
  </si>
  <si>
    <t>03136069221</t>
  </si>
  <si>
    <t xml:space="preserve">Sheharyar </t>
  </si>
  <si>
    <t xml:space="preserve">Shakira Liaqat </t>
  </si>
  <si>
    <t xml:space="preserve">House No 2 Street New Life Style Beauty Parlor Mohala Deen Pura Mitru Road Mailsi District Vehari </t>
  </si>
  <si>
    <t>03009451542</t>
  </si>
  <si>
    <t>hidral589@gmail.com</t>
  </si>
  <si>
    <t>https://drive.google.com/open?id=1BOOox47el2rEifjsjaejs9W_n5vX8vOV</t>
  </si>
  <si>
    <t>https://drive.google.com/open?id=1KxSe9qohqNqjclthPZ-IvftdO0LOyKM4</t>
  </si>
  <si>
    <t>https://drive.google.com/open?id=1F-dSic8YTh98dWqmjBLmGF3THHp2NFkq</t>
  </si>
  <si>
    <t>https://drive.google.com/open?id=1OIHURvFl6CmTZ0Znj8Q-N-KUi4tIr7qG</t>
  </si>
  <si>
    <t>minahilsaleem169@gmail.com</t>
  </si>
  <si>
    <t>03289837090</t>
  </si>
  <si>
    <t xml:space="preserve">Minahil Saleem Kharal </t>
  </si>
  <si>
    <t xml:space="preserve">Muhammad Saleem </t>
  </si>
  <si>
    <t xml:space="preserve">Rachna town satyana road fsd </t>
  </si>
  <si>
    <t>03333107967</t>
  </si>
  <si>
    <t>saleem101287@gmail.com</t>
  </si>
  <si>
    <t>https://drive.google.com/open?id=1Eibzx49wIyy9LDsMT9DPeJRIzS6JFaxl</t>
  </si>
  <si>
    <t>https://drive.google.com/open?id=1liuwJTVuUn7VgzybTpKi258KcS9TDStE</t>
  </si>
  <si>
    <t>https://drive.google.com/open?id=10PaXVz9mYqYs1vpE9kMM46M49cH8lAzf</t>
  </si>
  <si>
    <t>https://drive.google.com/open?id=1aEjSi05Tv_W8w75DZvMtW-2cHE_WljIa</t>
  </si>
  <si>
    <t>az6989958@gmail.com</t>
  </si>
  <si>
    <t>03153561412</t>
  </si>
  <si>
    <t xml:space="preserve">Ali Zain </t>
  </si>
  <si>
    <t xml:space="preserve">Mulazim Hussain </t>
  </si>
  <si>
    <t>32203-7786019-9</t>
  </si>
  <si>
    <t>Mohalla Tibi Karbala ward number 5 layyah</t>
  </si>
  <si>
    <t>03027809783</t>
  </si>
  <si>
    <t>saimalirb0786@gmail.com</t>
  </si>
  <si>
    <t>https://drive.google.com/open?id=1NKAfxXevTf-nvTDRgpJXrOEAaznRr1Gp</t>
  </si>
  <si>
    <t>https://drive.google.com/open?id=1iitb7lJTOU2ZgKMrqm2mLLtEmTT3wSGZ</t>
  </si>
  <si>
    <t>https://drive.google.com/open?id=14kXDA-g0eUFZZWVxXVEaeqy0S7j7RPNZ</t>
  </si>
  <si>
    <t>https://drive.google.com/open?id=1kYhApGQlCL3lyV_utUcrNo-REfzgnnlm</t>
  </si>
  <si>
    <t>s8824420@gmail.com</t>
  </si>
  <si>
    <t>03095530393</t>
  </si>
  <si>
    <t xml:space="preserve">Rimsha Shehzadi </t>
  </si>
  <si>
    <t xml:space="preserve">Nazim Hussain </t>
  </si>
  <si>
    <t>36102-7416320-0</t>
  </si>
  <si>
    <t xml:space="preserve">Mouza mari Sahu tehsil kabirwala </t>
  </si>
  <si>
    <t>03067933467</t>
  </si>
  <si>
    <t>musa786786uwb@gmail.com</t>
  </si>
  <si>
    <t>https://drive.google.com/open?id=1d1NiC3M0DtEZAgRJoY_L3T0JWIBYynhA</t>
  </si>
  <si>
    <t>https://drive.google.com/open?id=1iEdoSKaPptGisY1F8fz7tLknfarX7wyC</t>
  </si>
  <si>
    <t>https://drive.google.com/open?id=1oN1okiHv4Ks9XUwMS-JlQgdkfQ9JFQgj</t>
  </si>
  <si>
    <t>https://drive.google.com/open?id=1sTEP9NXGw82-FQe51k7BiaormS4rUC-L</t>
  </si>
  <si>
    <t>razatahir058@gmail.com</t>
  </si>
  <si>
    <t>03086907576</t>
  </si>
  <si>
    <t xml:space="preserve">Muhammad Tahir Raza </t>
  </si>
  <si>
    <t xml:space="preserve">Near city hospital, closed street, house no 549/B1, DHQ hospital road, mohallah imambargah, pakpattan </t>
  </si>
  <si>
    <t>03017243527</t>
  </si>
  <si>
    <t>https://drive.google.com/open?id=1_CerVfO-nyLboZHTgvSUzKNhnz3Th1Pn</t>
  </si>
  <si>
    <t>https://drive.google.com/open?id=1coEgGQR4esAij8ooRcGw_aS8mTCfFgZz</t>
  </si>
  <si>
    <t>https://drive.google.com/open?id=1XMqqTcCUch4F5WEo6sSQvbgXTs47xpTU</t>
  </si>
  <si>
    <t>https://drive.google.com/open?id=1SvDg8KQ0SvSyVhFhsYITTvG0ycjkHRvn</t>
  </si>
  <si>
    <t>kmuhammadyousufkhan@gmail.com</t>
  </si>
  <si>
    <t>03299136390</t>
  </si>
  <si>
    <t xml:space="preserve">Muhammad Yousuf Khan </t>
  </si>
  <si>
    <t xml:space="preserve">Muhammad Fazil Khan </t>
  </si>
  <si>
    <t>31302-8391261-5</t>
  </si>
  <si>
    <t xml:space="preserve">Basti Nazeer Ahmad Khan Bela p/o taranda muhammad pannah dharay oat tehsil liaquat pur district Rahim yar khan </t>
  </si>
  <si>
    <t>03203513520</t>
  </si>
  <si>
    <t>zk692562@gmail.com</t>
  </si>
  <si>
    <t>https://drive.google.com/open?id=1IKjtLGZOJB8AUC6nX-MPl_X6DIoDPxJt</t>
  </si>
  <si>
    <t>https://drive.google.com/open?id=1CwmBcfZuBQfMKoPDA4OO1or89ejdPJt6</t>
  </si>
  <si>
    <t>https://drive.google.com/open?id=1LDsi0Dx8n8LWpSwFmGNCoXLMjhA93abS</t>
  </si>
  <si>
    <t>https://drive.google.com/open?id=1rSxfs1agWDONlTM6AI6HP8N04k4zLUdP</t>
  </si>
  <si>
    <t>ranahunain41@gmail.com</t>
  </si>
  <si>
    <t>03355084125</t>
  </si>
  <si>
    <t xml:space="preserve">Hunain Ali </t>
  </si>
  <si>
    <t xml:space="preserve">Muhammad Nadeem </t>
  </si>
  <si>
    <t xml:space="preserve">P-52 street no 3 Muslim town 2 Sargodha road Faisalabad </t>
  </si>
  <si>
    <t>03326808382</t>
  </si>
  <si>
    <t>https://drive.google.com/open?id=1gEvcBr8TgpjgBA9-PUjrwkM0swzr87hc</t>
  </si>
  <si>
    <t>https://drive.google.com/open?id=1ufEuhUH-U1uZlIBGu49v3yoxOK0Ng5YW</t>
  </si>
  <si>
    <t>https://drive.google.com/open?id=17ySPlM8NByHJfqOCzi7GvUFI7y4a7gbS</t>
  </si>
  <si>
    <t>https://drive.google.com/open?id=1BJ2HpE_h6VqkQ2HBPR2FfiJnl_s8OFLr</t>
  </si>
  <si>
    <t>muhammadmehdi1714@gmail.com</t>
  </si>
  <si>
    <t>03315581714</t>
  </si>
  <si>
    <t xml:space="preserve">Muhammad Mehdi </t>
  </si>
  <si>
    <t xml:space="preserve">Ghulam Raza </t>
  </si>
  <si>
    <t xml:space="preserve">Chah thaheem chack no. 36 TDA tehsil and district bhakkar </t>
  </si>
  <si>
    <t xml:space="preserve">Fathar </t>
  </si>
  <si>
    <t>03318789814</t>
  </si>
  <si>
    <t>ghulamraza9814@gmailmcom</t>
  </si>
  <si>
    <t>https://drive.google.com/open?id=11hVyZoH7pCMIqo586lsv6g61VwKc4cE2</t>
  </si>
  <si>
    <t>https://drive.google.com/open?id=1wsY3Ylg7nILeAr7RuZ7tbgyXqR18-Xcx</t>
  </si>
  <si>
    <t>https://drive.google.com/open?id=1hI17hfY3NtaGwim8k0V_24JwUTPvFmVp</t>
  </si>
  <si>
    <t>https://drive.google.com/open?id=1GACDtP8ABa8zirKDoV1nOQVZD8bWz_6N</t>
  </si>
  <si>
    <t>dawoodahmad1187@gmail.com</t>
  </si>
  <si>
    <t>03346615051</t>
  </si>
  <si>
    <t xml:space="preserve">Dawood Ahmad khan </t>
  </si>
  <si>
    <t>Saif ullah</t>
  </si>
  <si>
    <t>33102-1363609-9</t>
  </si>
  <si>
    <t xml:space="preserve">Lalazar colony staff house no 05 university of agriculture Faisalabad </t>
  </si>
  <si>
    <t>03326563636</t>
  </si>
  <si>
    <t>saifuaf2015@gmail.com</t>
  </si>
  <si>
    <t>https://drive.google.com/open?id=1spEEr3lEboxWKgH5wsBD99y7Gj6keNBL</t>
  </si>
  <si>
    <t>https://drive.google.com/open?id=1kye1VyZoAo1jqhitZPy7igbCuDAlO-Iz</t>
  </si>
  <si>
    <t>https://drive.google.com/open?id=1rVxg39VTesjmdfOdPXEGaWLyhLMp-FiK</t>
  </si>
  <si>
    <t>https://drive.google.com/open?id=1Rx_uVVi7y5-fREu0-xZwByzHCbsT6X0H</t>
  </si>
  <si>
    <t>mianzohaib6565@gmail.com</t>
  </si>
  <si>
    <t>Mianzohaib6565@gmail.com</t>
  </si>
  <si>
    <t>03127044132</t>
  </si>
  <si>
    <t>Muhammad Zohaib Ilyas</t>
  </si>
  <si>
    <t>Muhammad Ilyas Anjum</t>
  </si>
  <si>
    <t>33104-3486588-1</t>
  </si>
  <si>
    <t xml:space="preserve">P-250 , B Block , Citi Housing , Samundari Road , Faisalabad </t>
  </si>
  <si>
    <t>03138652448</t>
  </si>
  <si>
    <t>https://drive.google.com/open?id=1LkBv0ZqWhZ1C0-8-7oCl3rRyHnzUZObG</t>
  </si>
  <si>
    <t>https://drive.google.com/open?id=1_A1Pfg1X_5-PJy4KyYRBTAosfAEMwJJV</t>
  </si>
  <si>
    <t>shaheerx17@gmail.com</t>
  </si>
  <si>
    <t xml:space="preserve">shaheerx17@gmail.com </t>
  </si>
  <si>
    <t>03280030809</t>
  </si>
  <si>
    <t xml:space="preserve">Muhammad Shaheer </t>
  </si>
  <si>
    <t>Muhammad Shafiq</t>
  </si>
  <si>
    <t xml:space="preserve">33100-6519933-9 </t>
  </si>
  <si>
    <t>House no. 298 D block, chandni chowk, G. M. Abad, fsd</t>
  </si>
  <si>
    <t>95. 0</t>
  </si>
  <si>
    <t>0332-6391042</t>
  </si>
  <si>
    <t xml:space="preserve">shafiqaclc@hotmail.com </t>
  </si>
  <si>
    <t>https://drive.google.com/open?id=1Rogbd7JmOlC0ZL1ZWbCElBXKjtiG0Hq8</t>
  </si>
  <si>
    <t>https://drive.google.com/open?id=18MBHOCUZ2JGWmJq18zw2bCBmaxBlucxC</t>
  </si>
  <si>
    <t>https://drive.google.com/open?id=1thjgL9qKliNrXIbQEvRhELcXZVfl2i6A</t>
  </si>
  <si>
    <t>https://drive.google.com/open?id=1hm9Ier33X5s--KcWkdzg1moMaPuiEXDp</t>
  </si>
  <si>
    <t>iftikharabdullah773@gmail.com</t>
  </si>
  <si>
    <t>03074889944</t>
  </si>
  <si>
    <t>Muhammad Abdullah</t>
  </si>
  <si>
    <t>Rana Iftikhar Ali</t>
  </si>
  <si>
    <t>33102-6814696-9</t>
  </si>
  <si>
    <t>P-7 Street no. 02 Millat colony no. 2 D-type Fsd.</t>
  </si>
  <si>
    <t>03226095830</t>
  </si>
  <si>
    <t>https://drive.google.com/open?id=1N2Di2UOYzN9hlFg2K7-t9dxjjH15LNoK</t>
  </si>
  <si>
    <t>https://drive.google.com/open?id=1ZFUAS7JCDMMkZBbIW3snhVNbI7Xf8QLF</t>
  </si>
  <si>
    <t>https://drive.google.com/open?id=12swFW_p2fTKUGVdmY9MZ2VLMiLZqf6hi</t>
  </si>
  <si>
    <t>https://drive.google.com/open?id=1Q9wYIRefDo10uXj7WBKNNDnE1mQovkEk</t>
  </si>
  <si>
    <t>ahmadabdullahzahid2006@gmail.com</t>
  </si>
  <si>
    <t>0390019969</t>
  </si>
  <si>
    <t>Ahmad Abdullah</t>
  </si>
  <si>
    <t>Zahid Hussain</t>
  </si>
  <si>
    <t>32402-4833219-9</t>
  </si>
  <si>
    <t>DHA MULTAN, house Q-1351</t>
  </si>
  <si>
    <t>+971 52 562 3224</t>
  </si>
  <si>
    <t>zahidhussain74@gmail.com</t>
  </si>
  <si>
    <t>https://drive.google.com/open?id=1eBPDFxp5h0F3rzsIY7yoaCzDVA_VDgC8</t>
  </si>
  <si>
    <t>https://drive.google.com/open?id=1fOWMtrO_YVc0l-Rb0crRxle3HvxKaz8Y</t>
  </si>
  <si>
    <t>https://drive.google.com/open?id=1qVJqM36Ni3OT6qbLO7WOPDN8DJlVC3ma</t>
  </si>
  <si>
    <t>https://drive.google.com/open?id=1uHAcfyQEhAzgSptk8NOoBTMFKRRNps6A</t>
  </si>
  <si>
    <t>arshadmaryam167@gmail.com</t>
  </si>
  <si>
    <t>03079902545</t>
  </si>
  <si>
    <t xml:space="preserve">Maryam Arshad </t>
  </si>
  <si>
    <t xml:space="preserve">P-89C Khayaban Green satiana road faisalabad </t>
  </si>
  <si>
    <t>03067076158</t>
  </si>
  <si>
    <t>zubairg679@gmail.com</t>
  </si>
  <si>
    <t>https://drive.google.com/open?id=1KGqTTHNDkDQCd8VgvhGXuAOhmdMuFxmv</t>
  </si>
  <si>
    <t>https://drive.google.com/open?id=1VItXTktPylXxVeXwDoWLuiHdxyo34LGl</t>
  </si>
  <si>
    <t>https://drive.google.com/open?id=1m9JoGvmQRtPGxd5bEkti6eROBRM9Jfgr</t>
  </si>
  <si>
    <t>https://drive.google.com/open?id=1tvC2yMasl_kwMqxTTauwIpBntVnX00HP</t>
  </si>
  <si>
    <t>fatimazahid5600@gmail.com</t>
  </si>
  <si>
    <t>03077900041</t>
  </si>
  <si>
    <t xml:space="preserve">Fatima Zahid </t>
  </si>
  <si>
    <t xml:space="preserve">Muhammad Zahid Akram </t>
  </si>
  <si>
    <t xml:space="preserve">182 K Gulistan colony no 1 Faisalabad </t>
  </si>
  <si>
    <t>03009664041</t>
  </si>
  <si>
    <t>Akram_pharmaceutical@yahoo.com</t>
  </si>
  <si>
    <t>https://drive.google.com/open?id=1xmbBi4Z1wR1CR8_qhrDWk9A3I9MR9Ryk</t>
  </si>
  <si>
    <t>https://drive.google.com/open?id=1lOogBZa37FchW1jwLOcy9JWz_CUyBEfU</t>
  </si>
  <si>
    <t>https://drive.google.com/open?id=18k9Dr7ChCs81Wa3jYw29lwAyaFXkZqyf</t>
  </si>
  <si>
    <t>https://drive.google.com/open?id=1dLgxiaF8MaZjjmDTo_Mj6UIKtuN6sjau</t>
  </si>
  <si>
    <t>hamzashafique712@gmail.com</t>
  </si>
  <si>
    <t>03249443193</t>
  </si>
  <si>
    <t>Muhammad Hamza Shafique</t>
  </si>
  <si>
    <t>Muhammad Shafique</t>
  </si>
  <si>
    <t>35202-1392048-9</t>
  </si>
  <si>
    <t>House no 44 , street no 5, shuja colony post office chah Miran Lahore</t>
  </si>
  <si>
    <t>03230474885</t>
  </si>
  <si>
    <t>hamzaroman809@gmail.com</t>
  </si>
  <si>
    <t>https://drive.google.com/open?id=1SBrmvEILj-jFYtuDkXeqYtwWQ2mkmL8o</t>
  </si>
  <si>
    <t>https://drive.google.com/open?id=1WAfkVp3xOHEmpGk1pp_Ic63Y8n758w3R</t>
  </si>
  <si>
    <t>https://drive.google.com/open?id=1Bj_XdCFviJnZzO1wFjgZf9cdAt464kyf</t>
  </si>
  <si>
    <t>https://drive.google.com/open?id=1xQUCbK97BcYedevxsR625_jJe2FKsQFS</t>
  </si>
  <si>
    <t xml:space="preserve">MAHNOOR FATIMA </t>
  </si>
  <si>
    <t xml:space="preserve">ASIF HUSSAIN ASLAM </t>
  </si>
  <si>
    <t xml:space="preserve">Laal Dervaish road Near SunRise School House no 458 Bhakkar </t>
  </si>
  <si>
    <t>https://drive.google.com/open?id=1FuOrDSpdzuunFNBV0kAgOeccGte25_G2</t>
  </si>
  <si>
    <t>https://drive.google.com/open?id=1iA9U_l5qDexyWseW-p-Rd2bdWZqLIdbr</t>
  </si>
  <si>
    <t>https://drive.google.com/open?id=15UM8SE4GwbsK_RMQuJfHN9K4txQMWbrX</t>
  </si>
  <si>
    <t>https://drive.google.com/open?id=1wLFcwO1M2WiDrRzkPu2PJrptch_Cqk3k</t>
  </si>
  <si>
    <t>aliazmatbhk31@gmail.com</t>
  </si>
  <si>
    <t>03356846633</t>
  </si>
  <si>
    <t xml:space="preserve">Amina Amir </t>
  </si>
  <si>
    <t>Aamir Ali</t>
  </si>
  <si>
    <t>38101-4309366-6</t>
  </si>
  <si>
    <t xml:space="preserve">Near Sardar Baksh road Bhakkar </t>
  </si>
  <si>
    <t xml:space="preserve">Aamir Ali </t>
  </si>
  <si>
    <t>0333-6846633</t>
  </si>
  <si>
    <t>ranaaamirali.bhk@ gmail.com</t>
  </si>
  <si>
    <t>https://drive.google.com/open?id=1pywdz6HqZ2A8O9gav0xE1qkiB2rvDJtP</t>
  </si>
  <si>
    <t>https://drive.google.com/open?id=1BdveCR_58w2b7bUgdT4jc9d8jG5nXXQ4</t>
  </si>
  <si>
    <t>https://drive.google.com/open?id=1ek_XXsKymGUxNG9UFYTPCxAq6fHhy1lr</t>
  </si>
  <si>
    <t>https://drive.google.com/open?id=1QKtRo_drxYth7g5GrWJaoRYLb6wugMeo</t>
  </si>
  <si>
    <t>rommansajid2626@gmail.com</t>
  </si>
  <si>
    <t>03209662626</t>
  </si>
  <si>
    <t xml:space="preserve">Romman Sajid </t>
  </si>
  <si>
    <t xml:space="preserve">Muhammad Sajid Manzoor </t>
  </si>
  <si>
    <t xml:space="preserve">House no 46 B Block Gulam Muhammad abad Faisalabad </t>
  </si>
  <si>
    <t>03219662626</t>
  </si>
  <si>
    <t>sajid.malik6116@gmail.com</t>
  </si>
  <si>
    <t>https://drive.google.com/open?id=1b7dULY4GjnakFyOqBtSS39cHTCs9AYCB</t>
  </si>
  <si>
    <t>https://drive.google.com/open?id=1VnplvIH-vTtNcnbXJBaI4z9lzaHAzKGJ</t>
  </si>
  <si>
    <t>https://drive.google.com/open?id=1MAdTeaycuHQg8xVZfumY9RX_56EXoq2S</t>
  </si>
  <si>
    <t>https://drive.google.com/open?id=1pl1hJELtU06IA9nOZgW5JAGU3t9U1jFm</t>
  </si>
  <si>
    <t>smgagrana123@gmail.com</t>
  </si>
  <si>
    <t xml:space="preserve">smgagrana123@gmail.com </t>
  </si>
  <si>
    <t>03136781995</t>
  </si>
  <si>
    <t xml:space="preserve">SHAHBAZ MUSTAFA </t>
  </si>
  <si>
    <t xml:space="preserve">MUHAMMAD ASLAM </t>
  </si>
  <si>
    <t xml:space="preserve">MOZA AND POST OFFICE AROUTI TEHSIL PIR MAHAL DISTRICT TOBA TEK SINGH PUNJAB </t>
  </si>
  <si>
    <t xml:space="preserve">mksial2977@yahoo.com </t>
  </si>
  <si>
    <t>https://drive.google.com/open?id=1b3Xe80yU4a9qs1_nuSETSNAcqJz0uR0h</t>
  </si>
  <si>
    <t>https://drive.google.com/open?id=1xfqBHMFYQgDGNWeW51LuUORHtovBpIBS</t>
  </si>
  <si>
    <t>https://drive.google.com/open?id=1IZO6s4uv9-55Ov-iws-Whm43ITXDkn-w</t>
  </si>
  <si>
    <t>https://drive.google.com/open?id=14JVHRPBY55AXBurDSpe1NGu3cjmSAUba</t>
  </si>
  <si>
    <t>areeshan714@gmail.com</t>
  </si>
  <si>
    <t>03029303883</t>
  </si>
  <si>
    <t xml:space="preserve">Areesha noor </t>
  </si>
  <si>
    <t>Anjum nazir</t>
  </si>
  <si>
    <t>37302-0485954-0</t>
  </si>
  <si>
    <t xml:space="preserve">Faisal colony ,street A8 chakwal </t>
  </si>
  <si>
    <t xml:space="preserve">Anjum nazir </t>
  </si>
  <si>
    <t>03015791546</t>
  </si>
  <si>
    <t>https://drive.google.com/open?id=1Ho0rutOQ6-AdytbJKjPWDGtbYhwotrc1</t>
  </si>
  <si>
    <t>https://drive.google.com/open?id=1xsSDekTtJCt8CjdAqburcpyt5MxVXLS_</t>
  </si>
  <si>
    <t>https://drive.google.com/open?id=15dVfC5cXkLyvw3OuMvDc3M97SiVENcBK</t>
  </si>
  <si>
    <t>https://drive.google.com/open?id=1cLDgJX2X5MtPlWDyG05tbfrO0GgrnVus</t>
  </si>
  <si>
    <t>syednaveedalamshah85@gmail.com</t>
  </si>
  <si>
    <t>03163488378</t>
  </si>
  <si>
    <t xml:space="preserve">Syed Naveed Alam Shah </t>
  </si>
  <si>
    <t xml:space="preserve">Syed Ameer Alam Shah </t>
  </si>
  <si>
    <t>Chak No 77/10-R Tehsil and District Khanewal</t>
  </si>
  <si>
    <t>Syed Farooq Hussnain Shah</t>
  </si>
  <si>
    <t>03414043677</t>
  </si>
  <si>
    <t>shahfarooq133@gmail.com</t>
  </si>
  <si>
    <t>https://drive.google.com/open?id=1vimRIcjkmOKto9jK5mTpu7sBXx6CcE8j</t>
  </si>
  <si>
    <t>https://drive.google.com/open?id=1BLUojfw7bjnaX51bTp5jnf_UpEwrfm4r</t>
  </si>
  <si>
    <t>https://drive.google.com/open?id=1ef1vdFK4G5qVDZxXXESTpTIJ0LPPuneB</t>
  </si>
  <si>
    <t>https://drive.google.com/open?id=1MeLlIre1RhYKo2esuVpnzLnW6fljWLhd</t>
  </si>
  <si>
    <t>03163488</t>
  </si>
  <si>
    <t xml:space="preserve">Chak No 77/10-R Tehsil and District Khanewal </t>
  </si>
  <si>
    <t xml:space="preserve">Syed Farooq Hussnain Shah </t>
  </si>
  <si>
    <t>https://drive.google.com/open?id=1nyDl_4EC4wf1Q891SY5skOExx217dmNV</t>
  </si>
  <si>
    <t>https://drive.google.com/open?id=1G1wCQgun6P-8gBUH_x7dy42jeJ_hx3ew</t>
  </si>
  <si>
    <t>https://drive.google.com/open?id=1VOMsQd66WlDRRGMFyU4aDoGVINacjF53</t>
  </si>
  <si>
    <t>https://drive.google.com/open?id=1LECATgS0uBAXm-6-jV_RzSFj3Q18UIqL</t>
  </si>
  <si>
    <t>ahmi9369111@gmail.com</t>
  </si>
  <si>
    <t>03136911491</t>
  </si>
  <si>
    <t>Ahmad khan</t>
  </si>
  <si>
    <t>Zafarullah khan</t>
  </si>
  <si>
    <t xml:space="preserve">Ward no. 5,house no. F/165 , Multan road , Muzafargarh. </t>
  </si>
  <si>
    <t>Farzana naz</t>
  </si>
  <si>
    <t>03053100480</t>
  </si>
  <si>
    <t>https://drive.google.com/open?id=1ir7Vf85Vrpb1SClk9tz0DqV41bAaiFuS</t>
  </si>
  <si>
    <t>https://drive.google.com/open?id=1FcrW4Aigb2N9yYSqIU87coMdFfipwV8e</t>
  </si>
  <si>
    <t>https://drive.google.com/open?id=19WseYs6w5wkSULZypQQkOzE7QcRMYfxH</t>
  </si>
  <si>
    <t>https://drive.google.com/open?id=1LYqCLOF7UpG32UoXMK9wXltr4Jmh6Uxm</t>
  </si>
  <si>
    <t>hussainbahar444@gmail.com</t>
  </si>
  <si>
    <t>03198551095</t>
  </si>
  <si>
    <t>Mahnoor Hussain</t>
  </si>
  <si>
    <t>Malik Bahar Hussain</t>
  </si>
  <si>
    <t>33102-3244391-6</t>
  </si>
  <si>
    <t>C-1 Model City 1 Fsd</t>
  </si>
  <si>
    <t>03100071095</t>
  </si>
  <si>
    <t>bahar.hussain2016@gmail.com</t>
  </si>
  <si>
    <t>https://drive.google.com/open?id=1aX1kwO8CXcZwJ4wmN6sbWf8MeA7tY-gs</t>
  </si>
  <si>
    <t>https://drive.google.com/open?id=1a3hbJerynkTNz3tU1g3jpPhTWS_Oxikp</t>
  </si>
  <si>
    <t>https://drive.google.com/open?id=1iBPWUyK-nmpijK6SZlc45bnArVw3QBP4</t>
  </si>
  <si>
    <t>https://drive.google.com/open?id=1aBVahcMLVUq8aCinKkNZtvMNjmfVKGh_</t>
  </si>
  <si>
    <t>umariqbal2105@gmail.com</t>
  </si>
  <si>
    <t>0312 1718318</t>
  </si>
  <si>
    <t>Muhammad Umar Iqbal</t>
  </si>
  <si>
    <t>Muhammad Iqbal</t>
  </si>
  <si>
    <t>33301-6287056-1</t>
  </si>
  <si>
    <t xml:space="preserve">Chak No. 303 JB , tehsil gojra, district toba Tek Singh </t>
  </si>
  <si>
    <t xml:space="preserve">Muhammad Iqbal </t>
  </si>
  <si>
    <t>0325 1087169</t>
  </si>
  <si>
    <t>https://drive.google.com/open?id=1J11WZw4xTe0z226BRqI4L244vaJtZktO</t>
  </si>
  <si>
    <t>https://drive.google.com/open?id=17I3uMMWk83BxYsWsr47N1Xn-YLSwn4fs</t>
  </si>
  <si>
    <t>https://drive.google.com/open?id=1ppoY4avcDV-p_OWps4NLRdEM_AJJDOlf</t>
  </si>
  <si>
    <t>https://drive.google.com/open?id=1ajRVM3-YS6vgTZ3aCKM2oXSIsiC0xMyG</t>
  </si>
  <si>
    <t>shaziljahangir225@gmail.com</t>
  </si>
  <si>
    <t>03711598179</t>
  </si>
  <si>
    <t xml:space="preserve">Shazil Jahangir </t>
  </si>
  <si>
    <t xml:space="preserve">Qudrat Jahangir Qureshi </t>
  </si>
  <si>
    <t xml:space="preserve">Qtr no B1 Opposite Post Office Westridge 1 Rawalpindi </t>
  </si>
  <si>
    <t>03005201106</t>
  </si>
  <si>
    <t>jahangirqureshi90@gmail.com</t>
  </si>
  <si>
    <t>https://drive.google.com/open?id=1huHHxo6VISdL4aHZ3fHh23BCe9UYuYbm</t>
  </si>
  <si>
    <t>https://drive.google.com/open?id=1nzq_4xRPiibpDG2mhMnwVE1Wa2ZsLVrb</t>
  </si>
  <si>
    <t>https://drive.google.com/open?id=1tuFMiEduhhB9K2VTAks7QvNXaCGhE0Py</t>
  </si>
  <si>
    <t>https://drive.google.com/open?id=1OJfgBJqWgx_1yNarDceXSaglLbxquEBc</t>
  </si>
  <si>
    <t>ishaamjad22@gmail.com</t>
  </si>
  <si>
    <t>Ishaamjad22@gmail.com</t>
  </si>
  <si>
    <t>03210396622</t>
  </si>
  <si>
    <t>Isha Amjad</t>
  </si>
  <si>
    <t>House no p3970 street no 10 main bazaar mansoorabad faisalabad</t>
  </si>
  <si>
    <t>Khalida Parveen</t>
  </si>
  <si>
    <t>mother</t>
  </si>
  <si>
    <t>03217698255</t>
  </si>
  <si>
    <t>minalamjadali@gmail.com</t>
  </si>
  <si>
    <t>https://drive.google.com/open?id=1NV97-731RYCp_tHlms-l8xsiHWGtB8uU</t>
  </si>
  <si>
    <t>https://drive.google.com/open?id=1rIzjeXgUiFGtvfQlLQvL92qW3LfchncA</t>
  </si>
  <si>
    <t>https://drive.google.com/open?id=18KgnqOrJoW6whm1FTJWCUs2QOTGw7VgA</t>
  </si>
  <si>
    <t>https://drive.google.com/open?id=1vAWbRDMn7eQbgoES1hIi0Cev8ljN68Tu</t>
  </si>
  <si>
    <t>tahir431sss@gmail.com</t>
  </si>
  <si>
    <t>0305-5955343</t>
  </si>
  <si>
    <t>Maryam Tahir</t>
  </si>
  <si>
    <t>Muhammad Waseem Tahir</t>
  </si>
  <si>
    <t>33301-3336182-2</t>
  </si>
  <si>
    <t>Wazir Park st no 3 Gojra ,Toba Tek Singh</t>
  </si>
  <si>
    <t>Robina Waseem</t>
  </si>
  <si>
    <t>0341-2509424</t>
  </si>
  <si>
    <t>actionjutt614@gmail.com</t>
  </si>
  <si>
    <t>fatimasohailrana03@gmail.com</t>
  </si>
  <si>
    <t>03221645921</t>
  </si>
  <si>
    <t xml:space="preserve">Fatima Sohail </t>
  </si>
  <si>
    <t>Sohail Rana</t>
  </si>
  <si>
    <t xml:space="preserve">House No 5/D civil Quarter Kotwali Road Faisalabad </t>
  </si>
  <si>
    <t>03007623902</t>
  </si>
  <si>
    <t>Sohailrana2189@gmail.com</t>
  </si>
  <si>
    <t>https://drive.google.com/open?id=1GqVZNreH12zoHQG08eRx3ylsQq11DVyB</t>
  </si>
  <si>
    <t>https://drive.google.com/open?id=18n86-jhd7QAPsIk7mzouLB8gABiBgieC</t>
  </si>
  <si>
    <t>https://drive.google.com/open?id=1cOTK2DdJzs0KpZLaU-kC0IksyfvCAL7O</t>
  </si>
  <si>
    <t>https://drive.google.com/open?id=1o7PJGp38K6MP3bpIYOiolosFCMJfzoDX</t>
  </si>
  <si>
    <t>misbah632tda@gmail.com</t>
  </si>
  <si>
    <t>03045446039</t>
  </si>
  <si>
    <t xml:space="preserve">Misbah Ul Haq </t>
  </si>
  <si>
    <t xml:space="preserve">Abdul Haq </t>
  </si>
  <si>
    <t xml:space="preserve">Chak no 632/TDA post office chak no 626/TDA,Tehsil Kot Addu,Dist Muzaffargarh </t>
  </si>
  <si>
    <t xml:space="preserve">Anwar ul Haq </t>
  </si>
  <si>
    <t>+923464199404</t>
  </si>
  <si>
    <t>malikanwar743@gmail.com</t>
  </si>
  <si>
    <t>https://drive.google.com/open?id=1zhL73OR9f_cIqlaQF4eE2Y6ycjQGsqfH</t>
  </si>
  <si>
    <t>https://drive.google.com/open?id=1j4ZCTKhIjrayPZz4S6xnqb6CK3BpclT_</t>
  </si>
  <si>
    <t>https://drive.google.com/open?id=17HT3q6-tZtrIsNTYYi1TMDmnXlwWcfh4</t>
  </si>
  <si>
    <t>https://drive.google.com/open?id=1V37Lv9P7b_4RtzbjOmpCT8aUWnG_v8T8</t>
  </si>
  <si>
    <t>abdulmoeedrammy1960@gmail.com</t>
  </si>
  <si>
    <t>03245956109</t>
  </si>
  <si>
    <t>ABDUL MOEED RAMMAY</t>
  </si>
  <si>
    <t>MIAN JEHANGIR TARIQ</t>
  </si>
  <si>
    <t>33102-0220140-7</t>
  </si>
  <si>
    <t xml:space="preserve">House No:2 Block F PMC Colony Allied Hospital Daewoo Road Faisalabad </t>
  </si>
  <si>
    <t>03344101960/03029764950</t>
  </si>
  <si>
    <t>mian.muneeb4804@gmail.com</t>
  </si>
  <si>
    <t>https://drive.google.com/open?id=1ORRkAse1i0_3xbL69IYzNsopPld7Papm</t>
  </si>
  <si>
    <t>https://drive.google.com/open?id=1MTo1FfZqRMU6wHlC84X6eRDVxN1vj4-T</t>
  </si>
  <si>
    <t>https://drive.google.com/open?id=1ep2OiacnOZr-jJtcDiubiudOcD3BkBXE</t>
  </si>
  <si>
    <t>https://drive.google.com/open?id=1ms63pxr-COUptIeWsBnKil9Zekq-8Idq</t>
  </si>
  <si>
    <t>salmonninja12@gmail.com</t>
  </si>
  <si>
    <t>03161775868</t>
  </si>
  <si>
    <t>Ahmed Abdul Rehman</t>
  </si>
  <si>
    <t xml:space="preserve">Sohail Tariq </t>
  </si>
  <si>
    <t>34601-9498712-7</t>
  </si>
  <si>
    <t xml:space="preserve">Gala Ghulam Hussain, Near bus stand, Daska, District Sialkot </t>
  </si>
  <si>
    <t>03006483309</t>
  </si>
  <si>
    <t>abdullah.mu.tariq@gmail.com</t>
  </si>
  <si>
    <t>https://drive.google.com/open?id=1fL8jbgABDtCFUuFbZhVzZlzr6B6SfkU4</t>
  </si>
  <si>
    <t>https://drive.google.com/open?id=132nke4J7QXUs7VQkc0xcn8aYZvn3e4EE</t>
  </si>
  <si>
    <t>Wazir Park st no 3 Gojra,Toba Tek Singh</t>
  </si>
  <si>
    <t>https://drive.google.com/open?id=1Hnnh1pTu35iC2BhyJ4owAnnBrn-ahR0z</t>
  </si>
  <si>
    <t>https://drive.google.com/open?id=17Q1gYbymfrxBH5fF52wY7E0zmeGpyrCJ</t>
  </si>
  <si>
    <t>https://drive.google.com/open?id=1GpBXRuaVuF2ErLm2wi3GIcAYjPHeZdJo</t>
  </si>
  <si>
    <t>https://drive.google.com/open?id=15XzfpFRujO_pbRrDEOdUzZb1rzn06TAb</t>
  </si>
  <si>
    <t>03186264679</t>
  </si>
  <si>
    <t>MIAN ABDUL MUNEEB RAMMAY</t>
  </si>
  <si>
    <t xml:space="preserve">House No: 2, Block:F PMC Colony Allied Hospital Daewoo Road Faisalabad </t>
  </si>
  <si>
    <t>mian.muneeb4804@hmail.com</t>
  </si>
  <si>
    <t>https://drive.google.com/open?id=12-Tw5hlN6BKYLkHhrjOeZaX9coiVFIjh</t>
  </si>
  <si>
    <t>https://drive.google.com/open?id=1NOZ_15d3_hyB3WmIyvImK4DorjP53o7M</t>
  </si>
  <si>
    <t>https://drive.google.com/open?id=1sj3OMfUtKG2_PPmvkms2MGDqwEolZuGZ</t>
  </si>
  <si>
    <t>https://drive.google.com/open?id=1pUg6BYhbWgXCywg_uEXfmcAOyHQ2eMrG</t>
  </si>
  <si>
    <t>Areej Fatima</t>
  </si>
  <si>
    <t>Vanikey road, Mohallah Taj Colony,Hafizabad</t>
  </si>
  <si>
    <t>https://drive.google.com/open?id=1G3j_-JvfCDHoAHPTtAVbdfLC1wxWwrPU</t>
  </si>
  <si>
    <t>https://drive.google.com/open?id=1LFySLHTNdU4EFiaxWArOf8fJ1QFJTHIW</t>
  </si>
  <si>
    <t>https://drive.google.com/open?id=1JAkTtPFTef3_dR3S-xDiN5cnoX6vbOe3</t>
  </si>
  <si>
    <t>https://drive.google.com/open?id=1lrFaIwQmwzpyMzgiHtBMAVx3v9Yl9hmI</t>
  </si>
  <si>
    <t>sakhawatal445@gmail.com</t>
  </si>
  <si>
    <t>03078317543</t>
  </si>
  <si>
    <t>Bisharat Ali</t>
  </si>
  <si>
    <t>33100-0832399-1</t>
  </si>
  <si>
    <t xml:space="preserve"> Hajwery Town Millat Road street#2 Muhala Bilal gunj Hakeem Tufail chowk Faisalabad</t>
  </si>
  <si>
    <t>03007617001</t>
  </si>
  <si>
    <t>https://drive.google.com/open?id=1o3gSc7O851x6Tnzarl0H9iEHunqni6St</t>
  </si>
  <si>
    <t>https://drive.google.com/open?id=1aN6aeROtXevFbweHPkxNAgWhuTsfmN4b</t>
  </si>
  <si>
    <t>https://drive.google.com/open?id=1TllXYgriwUUgs8rVKLsZ8Vo8q_7nqC6R</t>
  </si>
  <si>
    <t>https://drive.google.com/open?id=1B7fBOMO_BzZm7np8h2_nH_zh0N6YL3E5</t>
  </si>
  <si>
    <t>khansalal75@gmail.com</t>
  </si>
  <si>
    <t>Khansalal75@gmail.com</t>
  </si>
  <si>
    <t>03121447568</t>
  </si>
  <si>
    <t>Muhammad Salal Rafi Khan</t>
  </si>
  <si>
    <t>Mansoor Ahmad Khan</t>
  </si>
  <si>
    <t>258E, Mochh House, Wandhi ghun wali, Mianwali</t>
  </si>
  <si>
    <t>03064017663</t>
  </si>
  <si>
    <t>salalrafi27@gmail.com</t>
  </si>
  <si>
    <t>https://drive.google.com/open?id=1CF_L5BRyCKY0NBqGqv4dzSIkTWOfbsIg</t>
  </si>
  <si>
    <t>https://drive.google.com/open?id=1jsNLYwCW7LdoyHKqs18dvgXs1JdY4Ee-</t>
  </si>
  <si>
    <t>https://drive.google.com/open?id=1mgd6HKZRfGC7pG0qkqvYI5hDy-M2SD19</t>
  </si>
  <si>
    <t>https://drive.google.com/open?id=1muiryBBcmhflZGkzMs4tl3ydngfVTIVg</t>
  </si>
  <si>
    <t>hassnainsamar123@gmail.com</t>
  </si>
  <si>
    <t>hassnainsamar123@gamil.com</t>
  </si>
  <si>
    <t>03041540372</t>
  </si>
  <si>
    <t>Hassnain Samar</t>
  </si>
  <si>
    <t>Muhammad Samar Abbas</t>
  </si>
  <si>
    <t>33105-3822033-7</t>
  </si>
  <si>
    <t xml:space="preserve">Chak No 372 Tehsil Samundari District Faisalabad </t>
  </si>
  <si>
    <t>03007909746</t>
  </si>
  <si>
    <t>samarabbas3726192@gmail.com</t>
  </si>
  <si>
    <t>https://drive.google.com/open?id=1pJeOx3Z49KLtqUpvdznMHx_dNGYkKu3U</t>
  </si>
  <si>
    <t>https://drive.google.com/open?id=1caPElJBZPzTJky_hwMn5XYjVOSmThIt1</t>
  </si>
  <si>
    <t>https://drive.google.com/open?id=1cIhWM1DcCfaj6khIwfrZACqllLEz0GZ9</t>
  </si>
  <si>
    <t>https://drive.google.com/open?id=1nxtz4V07w9e6qHjSmAe4i4y60KDHS6uU</t>
  </si>
  <si>
    <t>areeba.sehar2022@gmail.com</t>
  </si>
  <si>
    <t>03437559342</t>
  </si>
  <si>
    <t>Areeba Sehar</t>
  </si>
  <si>
    <t>Nazir Ahmad</t>
  </si>
  <si>
    <t>168-B, Gulshan e Iqbal Colony, Risale Wala Road, Faisalabad</t>
  </si>
  <si>
    <t>03467121131</t>
  </si>
  <si>
    <t>m.awais64132@gmail.com</t>
  </si>
  <si>
    <t>https://drive.google.com/open?id=1ntDLBqXjFeAlCCLL5dN_-ionIeEEkcsR</t>
  </si>
  <si>
    <t>https://drive.google.com/open?id=1FBd8EZszNW4Qfyw1g2IRJRp1n0F0WuPo</t>
  </si>
  <si>
    <t>https://drive.google.com/open?id=16YTNynfIQoODZtbaNLZbXS-KFxZRSag-</t>
  </si>
  <si>
    <t>https://drive.google.com/open?id=1rSPR_hYf3NAOVIIM8lHv3ZMIIMcLNbmn</t>
  </si>
  <si>
    <t>areebashaukat29@gmail.com</t>
  </si>
  <si>
    <t>03258512929</t>
  </si>
  <si>
    <t>Areeba Shaukat</t>
  </si>
  <si>
    <t>Shaukat Ali</t>
  </si>
  <si>
    <t>33103-8912009-8</t>
  </si>
  <si>
    <t>P#131 Street no. 3 Raheem Town Faisalabad</t>
  </si>
  <si>
    <t>Safia Parveen</t>
  </si>
  <si>
    <t>03006620994</t>
  </si>
  <si>
    <t>aimnamia02@gmail.com</t>
  </si>
  <si>
    <t>https://drive.google.com/open?id=1NnZo6qQwaxYAxy2bGCHeSONka-KDhe6u</t>
  </si>
  <si>
    <t>https://drive.google.com/open?id=1qwmBODCw00Inbu-6sBsEwBeTDOG19v3G</t>
  </si>
  <si>
    <t>https://drive.google.com/open?id=1vDckrPuN9r21exkFtVSc0UJIliEEZM8p</t>
  </si>
  <si>
    <t>https://drive.google.com/open?id=1I-kzpR5tuTOpp8CpLu7llPP5Ax8eg2V0</t>
  </si>
  <si>
    <t>muhibunnabiraza@gmail.com</t>
  </si>
  <si>
    <t>03206854301</t>
  </si>
  <si>
    <t xml:space="preserve">Muhib UN Nabi Raza </t>
  </si>
  <si>
    <t>35501-0636259-5</t>
  </si>
  <si>
    <t xml:space="preserve">Purana Nankana mohalla qadrian Nankana sahib </t>
  </si>
  <si>
    <t>0300-8145429</t>
  </si>
  <si>
    <t>https://drive.google.com/open?id=17l11duS2_1GFKI8ar9tSXO7KaHMyH7TU</t>
  </si>
  <si>
    <t>https://drive.google.com/open?id=1erWqCPbaPMDNgfkuTki4r50UM_MVpFyK</t>
  </si>
  <si>
    <t>https://drive.google.com/open?id=1Tlxv6IhM2f_2_YnhRQ03-xKlfzcAr2x6</t>
  </si>
  <si>
    <t>https://drive.google.com/open?id=1zE2fbNdLLEYpZJf98oglOjGPeS3uiA6z</t>
  </si>
  <si>
    <t>uswarehman.official@gmail.com</t>
  </si>
  <si>
    <t>O3155422756</t>
  </si>
  <si>
    <t xml:space="preserve">Uswa Rehman </t>
  </si>
  <si>
    <t xml:space="preserve">Fakhar ur Rehman </t>
  </si>
  <si>
    <t xml:space="preserve">Ward no 14C house no 958 Kot Addu </t>
  </si>
  <si>
    <t>03346927750</t>
  </si>
  <si>
    <t>fakhar1144@gmail.com</t>
  </si>
  <si>
    <t>https://drive.google.com/open?id=1gbNAH_9QOpmNfXqDgVcDT07fBMjW745u</t>
  </si>
  <si>
    <t>https://drive.google.com/open?id=1yNgGa5V845VYpgI825Xri-POl343Uaoo</t>
  </si>
  <si>
    <t>https://drive.google.com/open?id=1YCQ8x2wyTYisPuGQ1fAUAxccZHOSXo0x</t>
  </si>
  <si>
    <t>https://drive.google.com/open?id=18C7fGlaHdHtv9WP4d5LazH_jHjIVwCF3</t>
  </si>
  <si>
    <t>fatimaijaz1312@gmail.com</t>
  </si>
  <si>
    <t>03191732759</t>
  </si>
  <si>
    <t>Fatima Ijaz</t>
  </si>
  <si>
    <t>Ijaz Mahmood</t>
  </si>
  <si>
    <t>House no. P131 Tariqabad Faisalabad</t>
  </si>
  <si>
    <t>MBBs</t>
  </si>
  <si>
    <t>03026052960</t>
  </si>
  <si>
    <t>ejazmahmoodbutt@gmail.com</t>
  </si>
  <si>
    <t>https://drive.google.com/open?id=1IY4wAZEoK3h6p5wtnyZfcsFtvhrJ79AY</t>
  </si>
  <si>
    <t>https://drive.google.com/open?id=1exU9zkekiQLfuiHESHnYeR94LoQzjCJv</t>
  </si>
  <si>
    <t>https://drive.google.com/open?id=1wYiUSAUbC_c28Jb_txcfvsgl_ke0IHdM</t>
  </si>
  <si>
    <t>https://drive.google.com/open?id=15f55wqWHwfcT-UIJW_xp4Z_ontLh57-N</t>
  </si>
  <si>
    <t>quratulain8233@gmail.com</t>
  </si>
  <si>
    <t>03294311839</t>
  </si>
  <si>
    <t>Qura tul ain</t>
  </si>
  <si>
    <t>Muhammad Akhtar Shah</t>
  </si>
  <si>
    <t>36201-0854375-6</t>
  </si>
  <si>
    <t>P/O khaas Makhdoomaali,Tehsil dunyapur, District Lodhran</t>
  </si>
  <si>
    <t xml:space="preserve">Muhammad Akhtar Shah </t>
  </si>
  <si>
    <t>03017724392</t>
  </si>
  <si>
    <t>akhtarshahzulfiqarshah@gmail.com</t>
  </si>
  <si>
    <t>https://drive.google.com/open?id=1w4b4EQzJoKOtdHEyKLNh55UCnPYZ02bD</t>
  </si>
  <si>
    <t>https://drive.google.com/open?id=1gizSMrs9ib4VZTzp0tsfgsC6lpR-ifty</t>
  </si>
  <si>
    <t>https://drive.google.com/open?id=1qv3tE0xzM-7dMuUUwvp3oxavjLF4B92Y</t>
  </si>
  <si>
    <t>https://drive.google.com/open?id=1mWVsNU2g00P14PsdJb0Sszai9dwuchsP</t>
  </si>
  <si>
    <t>mahmad258258258@gmail.com</t>
  </si>
  <si>
    <t>03236051496</t>
  </si>
  <si>
    <t xml:space="preserve">Muhammad Ahmad Husnain </t>
  </si>
  <si>
    <t xml:space="preserve">Muhammad Munir </t>
  </si>
  <si>
    <t>33100-7749729-7</t>
  </si>
  <si>
    <t xml:space="preserve">House no. 787, Chur Majra, Narwala road, GM Abad, FAISALABAD </t>
  </si>
  <si>
    <t>03006679284</t>
  </si>
  <si>
    <t>https://drive.google.com/open?id=1dAFYrfRy1opNEdNlDnTC7ll4MOrCO5uT</t>
  </si>
  <si>
    <t>https://drive.google.com/open?id=1pk761CC2EHheMFs12ZA3kauGGwv2CRVu</t>
  </si>
  <si>
    <t>https://drive.google.com/open?id=1gfzKB-lycIw058TDwYLOIp8BLhcxoR4T</t>
  </si>
  <si>
    <t>https://drive.google.com/open?id=1Yh4-U9NIatKJ7Mv7qGd8yIAVimnOsBIy</t>
  </si>
  <si>
    <t>lubnagulafridi1122@gmail.com</t>
  </si>
  <si>
    <t>03353443440</t>
  </si>
  <si>
    <t xml:space="preserve">Lubna Gul Afridi </t>
  </si>
  <si>
    <t>Wahid Gul</t>
  </si>
  <si>
    <t>21201-98332546</t>
  </si>
  <si>
    <t>Near Aghosh Alkhidmat, Hameed abad, Datta Road, Mansehra.</t>
  </si>
  <si>
    <t xml:space="preserve">WAHID GUL </t>
  </si>
  <si>
    <t>03339104445</t>
  </si>
  <si>
    <t>gulafridi70.wga@gmail.com</t>
  </si>
  <si>
    <t>https://drive.google.com/open?id=1LbZV4yiwJ65Fpm-3h3FegOJJ9m1X5qhf</t>
  </si>
  <si>
    <t>https://drive.google.com/open?id=157e_IAO-1NvcrEH3qENHWS1SBraMG1vc</t>
  </si>
  <si>
    <t>https://drive.google.com/open?id=1U2Pr4UCRySlEu3f0KiwDzV42fy8xeoNa</t>
  </si>
  <si>
    <t>https://drive.google.com/open?id=1dXL9hDmkJDi9-M-CQDDgeXq9QSVmFqEa</t>
  </si>
  <si>
    <t>drmahataj@gmail.com</t>
  </si>
  <si>
    <t>03339941172</t>
  </si>
  <si>
    <t xml:space="preserve">Minahal Tajwar </t>
  </si>
  <si>
    <t xml:space="preserve">Rafaqat Hussain </t>
  </si>
  <si>
    <t xml:space="preserve">Post office same,chak#172GB, Tehsil Samundri, District Faisalabad </t>
  </si>
  <si>
    <t>03338993172</t>
  </si>
  <si>
    <t>yousaf172gb@gmail.com</t>
  </si>
  <si>
    <t>https://drive.google.com/open?id=1lzmxXj3jYfwuY4v5f-rPXNYT5i9fbuN8</t>
  </si>
  <si>
    <t>https://drive.google.com/open?id=1du2_Fr-Jq5L5i05htQmMkMvKvmfYzv0l</t>
  </si>
  <si>
    <t>https://drive.google.com/open?id=1-zkr0bvgJt_vGIGbV3McaoG9wffc2zIQ</t>
  </si>
  <si>
    <t>https://drive.google.com/open?id=1q-pCWfPn9d_gDANzDGvM6KgszNmUU4_r</t>
  </si>
  <si>
    <t>afzalamna002@gmail.com</t>
  </si>
  <si>
    <t>03143030389</t>
  </si>
  <si>
    <t>AMNA AFZAL</t>
  </si>
  <si>
    <t xml:space="preserve">MUHAMMAD AFZAL </t>
  </si>
  <si>
    <t xml:space="preserve">H#311,Street #1, Taj Colony, Faisalabad </t>
  </si>
  <si>
    <t>03457850003</t>
  </si>
  <si>
    <t>geminilibra1806@gmail.com</t>
  </si>
  <si>
    <t>https://drive.google.com/open?id=1qQ32HMGSm30Hzw6v1iYSX_TDA4cm-R1M</t>
  </si>
  <si>
    <t>https://drive.google.com/open?id=1Cb8Zla2DIyyXx6MBSH8A_UpOKCXpGA2_</t>
  </si>
  <si>
    <t>https://drive.google.com/open?id=1HvrSVbAzpAcvrf2129ti265tsWZlkGZW</t>
  </si>
  <si>
    <t>https://drive.google.com/open?id=1cSIfqQQE6rPg5Ht5tIl_V0THCfqLJ3_m</t>
  </si>
  <si>
    <t>asmaather365@gmail.com</t>
  </si>
  <si>
    <t xml:space="preserve">0310-4354501 </t>
  </si>
  <si>
    <t>Asma Ather</t>
  </si>
  <si>
    <t>Ather Mehmood</t>
  </si>
  <si>
    <t xml:space="preserve">33100-1292124-8 </t>
  </si>
  <si>
    <t xml:space="preserve">12-Z-3 Madina Town Faisalabad </t>
  </si>
  <si>
    <t>Sana Ather</t>
  </si>
  <si>
    <t>03066008878</t>
  </si>
  <si>
    <t>atharabdullah057@gmail.com</t>
  </si>
  <si>
    <t>https://drive.google.com/open?id=1SZ905G-LCQkii1f0mW0vYy_sAZWXEzmo</t>
  </si>
  <si>
    <t>https://drive.google.com/open?id=1aogHOO2Pp2w3taUZ7YGcRhiJlua-zNDV</t>
  </si>
  <si>
    <t>https://drive.google.com/open?id=1D3vPcnUNoRXZyZEIL9GG9Du21ezMvC_b</t>
  </si>
  <si>
    <t>ayeshamaryum189@gmail.com</t>
  </si>
  <si>
    <t>03214727933</t>
  </si>
  <si>
    <t xml:space="preserve">Ayesha Maryum </t>
  </si>
  <si>
    <t>Muhammad Akbar</t>
  </si>
  <si>
    <t>P-329,street no.1, rabani colony no.2, satyana road, Faisalabad.</t>
  </si>
  <si>
    <t xml:space="preserve">Shahnaz </t>
  </si>
  <si>
    <t>03055335148</t>
  </si>
  <si>
    <t>riffat2324@gmail.com</t>
  </si>
  <si>
    <t>https://drive.google.com/open?id=1RbJmDmEiLpDYTd_6d8cjhrYjdnYCpliD</t>
  </si>
  <si>
    <t>https://drive.google.com/open?id=1wx_Y9Ve_fxGMRGaWB_IX7q5y2Gxjn76I</t>
  </si>
  <si>
    <t>https://drive.google.com/open?id=1u3hE1GGSTLKeXI4fCKMy2_7Ob6OiA_T_</t>
  </si>
  <si>
    <t>https://drive.google.com/open?id=1qYWT1MfpoPptRTsADYjgdGHc5RiyzgkA</t>
  </si>
  <si>
    <t>yamnazainab514@gmail.com</t>
  </si>
  <si>
    <t xml:space="preserve">yamnazainab514@gmail.com </t>
  </si>
  <si>
    <t>+92 317 7088677</t>
  </si>
  <si>
    <t xml:space="preserve">Yamna Zainab </t>
  </si>
  <si>
    <t xml:space="preserve">Syed Ashiq Hussain Shah </t>
  </si>
  <si>
    <t xml:space="preserve">33100-5785404-6 </t>
  </si>
  <si>
    <t xml:space="preserve">Kaleem shaheed colony 2 p 62 G.M.Abad Faisalabad </t>
  </si>
  <si>
    <t xml:space="preserve">Syed Ashiq Hussain </t>
  </si>
  <si>
    <t>03052760004</t>
  </si>
  <si>
    <t>ashiqshah899@gmail.com</t>
  </si>
  <si>
    <t>https://drive.google.com/open?id=11IxQjpgZuWvzrErTuT7D-6B76I3u7L2A</t>
  </si>
  <si>
    <t>https://drive.google.com/open?id=1sT5ybZl_QDqInpXk4NZvG6l3JVfYvg3H</t>
  </si>
  <si>
    <t>https://drive.google.com/open?id=1JCddp1ENsuJnm6Pvr8s18XoGC90Pxxuy</t>
  </si>
  <si>
    <t>https://drive.google.com/open?id=1PbIuUihB15bSisEPuna3QP0gQcUGmz5T</t>
  </si>
  <si>
    <t>hadimohyuddin7@gmail.com</t>
  </si>
  <si>
    <t>03107721444</t>
  </si>
  <si>
    <t>Hadi Mohy Ud Din</t>
  </si>
  <si>
    <t>Zaka Mohy Ud Din</t>
  </si>
  <si>
    <t>Daewoo road ismail city house no. 1</t>
  </si>
  <si>
    <t>Zaka mohy ud din</t>
  </si>
  <si>
    <t>03216634082</t>
  </si>
  <si>
    <t>hadichamp619@gmail.com</t>
  </si>
  <si>
    <t>https://drive.google.com/open?id=1ZV8ZuFKzP8_mWEF-O2kjXtxs9CMuY5-q</t>
  </si>
  <si>
    <t>https://drive.google.com/open?id=1k5ti-N2HVfVZTdqIZIgyQ-n9yyB0hmDP</t>
  </si>
  <si>
    <t>https://drive.google.com/open?id=10R6qSBcdvAX0hL-zzckMnp9wXNpkEI_v</t>
  </si>
  <si>
    <t>https://drive.google.com/open?id=1mllAFAXkN3NSZVDCPKaZG8fS5PFg4Dnb</t>
  </si>
  <si>
    <t xml:space="preserve">a42264258@gmail.com </t>
  </si>
  <si>
    <t xml:space="preserve">Chak no 478 G.B samundari District Faisalabad </t>
  </si>
  <si>
    <t>https://drive.google.com/open?id=16mC6Rs0ZUDU0HwEyRg-IUd4mXUDTUMem</t>
  </si>
  <si>
    <t>https://drive.google.com/open?id=1_V2grQluNGZYwdCPLBxYM4DUNPUA0Wgo</t>
  </si>
  <si>
    <t>https://drive.google.com/open?id=1Ty_y5bXJgCCeUsaNAB1qdKswjX_TNy0r</t>
  </si>
  <si>
    <t>https://drive.google.com/open?id=17vfZMqs_dtt-yly_8GS0q5s0b40yt_br</t>
  </si>
  <si>
    <t>Abdulqec@gmail.com</t>
  </si>
  <si>
    <t xml:space="preserve">33103-4642438-6 </t>
  </si>
  <si>
    <t xml:space="preserve">New Green Town, Street no.3, Millat Road, Faisalabad </t>
  </si>
  <si>
    <t xml:space="preserve">Abdul Salam </t>
  </si>
  <si>
    <t xml:space="preserve">0307 4158359 </t>
  </si>
  <si>
    <t>https://drive.google.com/open?id=1WmvokN_nBnNP8DY7qmvX6bkh_-uakqw7</t>
  </si>
  <si>
    <t>https://drive.google.com/open?id=1YLne-XDZUDvNkH9Sehu7nhw0-c7dKpaR</t>
  </si>
  <si>
    <t>https://drive.google.com/open?id=15-ZphAOpgVqj3Bn7oKc1KPxkTqRd7D6C</t>
  </si>
  <si>
    <t>https://drive.google.com/open?id=1xTEoZw_yjpb9-JP6mLC4XyHp1pWhFBF6</t>
  </si>
  <si>
    <t xml:space="preserve">Chak no.15 N.B. Tehsil Bhalwal District Sargodha </t>
  </si>
  <si>
    <t>https://drive.google.com/open?id=1B2skBkvuofZ9TGPYNzd72O7vp0sLps4t</t>
  </si>
  <si>
    <t>https://drive.google.com/open?id=1FAwz5zASo8KL5Tv545oH0lHNqvq_A0wl</t>
  </si>
  <si>
    <t>https://drive.google.com/open?id=1h6O3LXY5JEAZIV-bxhbdXDpM8HIb0sxI</t>
  </si>
  <si>
    <t>https://drive.google.com/open?id=1IPU7Y9T8z1mwtK74HEBnBJWKWnHdzNBV</t>
  </si>
  <si>
    <t>fatimahaider541@gmail.com</t>
  </si>
  <si>
    <t>03321411405</t>
  </si>
  <si>
    <t>Fatima Haider</t>
  </si>
  <si>
    <t>Fhulam Haider</t>
  </si>
  <si>
    <t>35202-8594168-6</t>
  </si>
  <si>
    <t>House # 554, R-1, Johar Town, Lahore.</t>
  </si>
  <si>
    <t>Ghulam Haider</t>
  </si>
  <si>
    <t>03004262105</t>
  </si>
  <si>
    <t>ghaider72@gmail.com</t>
  </si>
  <si>
    <t>https://drive.google.com/open?id=1GZrgbyK-WHj4O8f0yOWJEdJDhtj_Lq5Z</t>
  </si>
  <si>
    <t>https://drive.google.com/open?id=1sBM65DUcZCBf-KqNhD7Sk2dXYJz4To_M</t>
  </si>
  <si>
    <t>https://drive.google.com/open?id=1tnF0jHjFzjrgCAXPV806j5EhGIZpuOCw</t>
  </si>
  <si>
    <t>https://drive.google.com/open?id=1rL2gtTpKa7L_wkz8MzdNchLtn1-2iB-7</t>
  </si>
  <si>
    <t>zulqarnain5012mushtaq@gmail.com</t>
  </si>
  <si>
    <t>Zulqarnain5012mushtaq@gmail.com</t>
  </si>
  <si>
    <t>03002445012</t>
  </si>
  <si>
    <t>Zulqarnain Mushtaq</t>
  </si>
  <si>
    <t>Mushtaq Ahmad</t>
  </si>
  <si>
    <t>36501-6907351-9</t>
  </si>
  <si>
    <t>Chak 50/12-L chichawatni</t>
  </si>
  <si>
    <t>03005635012</t>
  </si>
  <si>
    <t>https://drive.google.com/open?id=1tb0yzhLL_VU8QFJgV6U_bxtU8PGhyBBm</t>
  </si>
  <si>
    <t>https://drive.google.com/open?id=1ECg9NkfakJsaFlABNYUdfbjp1pJ_Nsi_</t>
  </si>
  <si>
    <t>https://drive.google.com/open?id=1USjFQKLsUQ3aL2IWDEUN6bw3GYOvyQNh</t>
  </si>
  <si>
    <t>https://drive.google.com/open?id=1Hc0lrO3yXlk1ZYLEj968fD48dFQMDLrS</t>
  </si>
  <si>
    <t>tariqaziz37@gmail.com</t>
  </si>
  <si>
    <t>https://drive.google.com/open?id=1OBCf7TS5fEkDiMoLhwNObWmIHKggMNvs</t>
  </si>
  <si>
    <t>https://drive.google.com/open?id=1U4PLbQM5IM6HpTkiCxSNfOcmg38jZE04</t>
  </si>
  <si>
    <t>https://drive.google.com/open?id=15SwF3tXe1pAKJEhMQvVgw6hMPoafSfI0</t>
  </si>
  <si>
    <t>https://drive.google.com/open?id=1OvbeLloYzpbSi3FYizO6AP-eFLiUoIc-</t>
  </si>
  <si>
    <t>laibashabbir109@gmail.com</t>
  </si>
  <si>
    <t>03338372029</t>
  </si>
  <si>
    <t>Laiba Shabbir</t>
  </si>
  <si>
    <t>Ghulam Shabbir</t>
  </si>
  <si>
    <t>Street Alhaj Sufi Allah Ditta Mohallah Rashidia Chiniot</t>
  </si>
  <si>
    <t>03418606700</t>
  </si>
  <si>
    <t>ghulamshabbir81788@gmail.com</t>
  </si>
  <si>
    <t>https://drive.google.com/open?id=1CNgJoy8Q9c3q6RZVZqmgS7TlYMHGezS2</t>
  </si>
  <si>
    <t>https://drive.google.com/open?id=1la4LUS_89ZFJgyRx1GFlxfChCvEd1pau</t>
  </si>
  <si>
    <t>https://drive.google.com/open?id=15WT1E6RxooOA5I59zDuxsaXVbU_AwsEO</t>
  </si>
  <si>
    <t>https://drive.google.com/open?id=1EQcGHfhCLAP9dB2cfUrokdCo7L2-ww7g</t>
  </si>
  <si>
    <t>abdulroufgill666@gmail.com</t>
  </si>
  <si>
    <t>https://drive.google.com/open?id=17qkt4p_bVrk-f7Uokq48VYXiNO62fou5</t>
  </si>
  <si>
    <t>https://drive.google.com/open?id=1UmdsROtpO3qFSacNjOv20aJm6Zd1DJYC</t>
  </si>
  <si>
    <t>https://drive.google.com/open?id=1Je8hBRbRz8nlf74khs1LIv2ezNz5OTk8</t>
  </si>
  <si>
    <t>https://drive.google.com/open?id=1RSNFNTRF6TQoI7rpPquPbVkQRsbCtfta</t>
  </si>
  <si>
    <t>saad03017274922@gmail.com</t>
  </si>
  <si>
    <t>03017274922</t>
  </si>
  <si>
    <t xml:space="preserve">Muhammad Saad </t>
  </si>
  <si>
    <t xml:space="preserve">Mushtaq Ahmad Khan </t>
  </si>
  <si>
    <t>33106-0172097-9</t>
  </si>
  <si>
    <t xml:space="preserve">Street No.5 House No.332 Mubarak Pura tehsil tandlianwala, Faisalabad </t>
  </si>
  <si>
    <t xml:space="preserve">Mushtaq Ahmad </t>
  </si>
  <si>
    <t>03011073933</t>
  </si>
  <si>
    <t>saad03437032922@gmail.com</t>
  </si>
  <si>
    <t>https://drive.google.com/open?id=1diyo7ungd23nlsnWZbWUreNjb3rZ5Fgk</t>
  </si>
  <si>
    <t>https://drive.google.com/open?id=1E0XXjyArzlwFIlHAWrWPexNUc6L51fWS</t>
  </si>
  <si>
    <t>https://drive.google.com/open?id=1jp94r9xeuXnZLdqx9Hq_XEJ7IncTF6QX</t>
  </si>
  <si>
    <t>https://drive.google.com/open?id=1MfEw0E1uLAk_Zq0bVuWiLa04v3nC5vEI</t>
  </si>
  <si>
    <t>mirzahammadbaig2131@gmail.com</t>
  </si>
  <si>
    <t>03114613978</t>
  </si>
  <si>
    <t>Mirza Hammad Baig</t>
  </si>
  <si>
    <t>Mirza Jan Muhammad</t>
  </si>
  <si>
    <t>35102-1910833-3</t>
  </si>
  <si>
    <t>Saleem Town, Kasur</t>
  </si>
  <si>
    <t>03189706661</t>
  </si>
  <si>
    <t>mirzamuaaz941@gmail.com</t>
  </si>
  <si>
    <t>https://drive.google.com/open?id=1Imu__ND-La04KoLoK8zS8cJ20sFW0Wo0</t>
  </si>
  <si>
    <t>https://drive.google.com/open?id=1piMo1Kg8RTN6hSteI_ffr4gfE1IRwPl5</t>
  </si>
  <si>
    <t>https://drive.google.com/open?id=11v_5bUUHlM_YtL5tJv7e5hVNNqtCqwck</t>
  </si>
  <si>
    <t>https://drive.google.com/open?id=11aI5-P5LhNv4cZX0bvZb-M5Im6NAsnDs</t>
  </si>
  <si>
    <t>mahar3355juni@gmail.com</t>
  </si>
  <si>
    <t>03045130122</t>
  </si>
  <si>
    <t xml:space="preserve">Muhammad Junaid Iqbal </t>
  </si>
  <si>
    <t>Ward no 10 fsd road chowk azam</t>
  </si>
  <si>
    <t>03017858851</t>
  </si>
  <si>
    <t>miqbaldullupst@gmail.com</t>
  </si>
  <si>
    <t>https://drive.google.com/open?id=1-plMSQasQmhDboxC4xiSyapBhIxW9fJN</t>
  </si>
  <si>
    <t>https://drive.google.com/open?id=1BBMklQSmYRoPXbyIOGvFHlm4KPv59heK</t>
  </si>
  <si>
    <t>https://drive.google.com/open?id=1LZ355y2GCWj2dGsboSx5xu-N87xeXToK</t>
  </si>
  <si>
    <t>https://drive.google.com/open?id=1u-OWycZkqJqwNCCAK0RSP7wBoD3j6Olu</t>
  </si>
  <si>
    <t>nukhbafarooq18@gmail.com</t>
  </si>
  <si>
    <t>03135538564</t>
  </si>
  <si>
    <t>Nukhba Farooq</t>
  </si>
  <si>
    <t>37203-8805555-6</t>
  </si>
  <si>
    <t xml:space="preserve">House no 1894,street no 33,I-14/2, Islamabad </t>
  </si>
  <si>
    <t>0333-5721718</t>
  </si>
  <si>
    <t>umarislamian@gmail.com</t>
  </si>
  <si>
    <t>https://drive.google.com/open?id=1Dd88TsrAfTmbc8NlkD5Ta1wLTu7gujg8</t>
  </si>
  <si>
    <t>https://drive.google.com/open?id=1o82Szyj9YRG2RVyVslCbyBwbQimfEJp6</t>
  </si>
  <si>
    <t>https://drive.google.com/open?id=1DMiaDJiDQSVY1We-MQPJVFPnavx3lNnU</t>
  </si>
  <si>
    <t>https://drive.google.com/open?id=14B63iX1qaLWEur61ySceCdQ8984Jr4kf</t>
  </si>
  <si>
    <t>yawrrsameer@gmail.com</t>
  </si>
  <si>
    <t>03004520475</t>
  </si>
  <si>
    <t>Muhammad Sameer Ali</t>
  </si>
  <si>
    <t>Tufique Ahmad Ismail</t>
  </si>
  <si>
    <t>244-K block Gulistan Colony #1 Faisalabad</t>
  </si>
  <si>
    <t>03009657477</t>
  </si>
  <si>
    <t>sameertufique965@gmail.com</t>
  </si>
  <si>
    <t>https://drive.google.com/open?id=1K16VKM4jiK674UCxOK-aT5eeT-vqCERk</t>
  </si>
  <si>
    <t>https://drive.google.com/open?id=1X7d898-3wqXL6HjyeEKu2ABCTsYibV2z</t>
  </si>
  <si>
    <t>https://drive.google.com/open?id=1n0WH3kNnaN0vjdxYa6op7Fw0mtN2Brxt</t>
  </si>
  <si>
    <t>https://drive.google.com/open?id=1Ud0s4ZqQL1HPfzxnFkx59eSV9Qe0mrzn</t>
  </si>
  <si>
    <t>jafarhussainsaeed@gmail.com</t>
  </si>
  <si>
    <t>03290955714</t>
  </si>
  <si>
    <t>Ammarah Rizwan</t>
  </si>
  <si>
    <t>Muhammad Rizwan</t>
  </si>
  <si>
    <t>33301-0782882-2</t>
  </si>
  <si>
    <t>Street no 6 New plot Toba Road Gojra Toba Tek Singh</t>
  </si>
  <si>
    <t>03005064123</t>
  </si>
  <si>
    <t>https://drive.google.com/open?id=1gpFnnyCwaRssVjVztX5PfYAcYYzUuhaE</t>
  </si>
  <si>
    <t>https://drive.google.com/open?id=1HQO4zALlNlwC8pnhMqvureAAxeCVyS_E</t>
  </si>
  <si>
    <t>https://drive.google.com/open?id=12Tdb_BzOk6uM39FapkZe_NeuIWXBhVWQ</t>
  </si>
  <si>
    <t>https://drive.google.com/open?id=1NEaCR4NTcEBInSV2P6aOAq99gPf13mLH</t>
  </si>
  <si>
    <t>tehreemshahzad24@gmail.com</t>
  </si>
  <si>
    <t>03066127957</t>
  </si>
  <si>
    <t xml:space="preserve">Tehreem Shahzad </t>
  </si>
  <si>
    <t>Shahzad Latif</t>
  </si>
  <si>
    <t xml:space="preserve">P-199 G Block Street # 4 Gulistan Colony No. 1 Faisalabad </t>
  </si>
  <si>
    <t xml:space="preserve">Shahzad Latif </t>
  </si>
  <si>
    <t>03361719210</t>
  </si>
  <si>
    <t>shahzadlatif442@gmail.com</t>
  </si>
  <si>
    <t>https://drive.google.com/open?id=1_2oL-g5RhsCiqFM0Ckd05P7fd5gg8XYc</t>
  </si>
  <si>
    <t>https://drive.google.com/open?id=1-HXhJMiksU4SNnK-8jXU27ATZoizzZMF</t>
  </si>
  <si>
    <t>https://drive.google.com/open?id=1YHuvc8VU-RJaZBFpL2DTxZGu-3UO5FUm</t>
  </si>
  <si>
    <t>https://drive.google.com/open?id=1V8f2CzvFdR8KBliCvfTNJZFCQxVGQsAF</t>
  </si>
  <si>
    <t>zainabsarfraz1411@gmail.com</t>
  </si>
  <si>
    <t>03336527777</t>
  </si>
  <si>
    <t xml:space="preserve">Zainab Sarfraz Gill </t>
  </si>
  <si>
    <t xml:space="preserve">Sarfraz Ali Gill </t>
  </si>
  <si>
    <t>P 158 street no. R-6 Muslim town 3 Sargodha road Faisalabad</t>
  </si>
  <si>
    <t>03338656333</t>
  </si>
  <si>
    <t>ufrfsd0001@gmail.com</t>
  </si>
  <si>
    <t>https://drive.google.com/open?id=1neOX2qSvwrl-Neo7xjesCWj-7YQ1GBKp</t>
  </si>
  <si>
    <t>https://drive.google.com/open?id=1y-xdSuJSw5PDpPKsDUTd1IR7lmZ93zTb</t>
  </si>
  <si>
    <t>https://drive.google.com/open?id=1Ql_WfgdZaDtA7mPRJL1wz6jppZrzSM0Y</t>
  </si>
  <si>
    <t>https://drive.google.com/open?id=1fYmqCA50zmjVckB7zWxtkn6Sz__-R_SB</t>
  </si>
  <si>
    <t>muhammadkaif7k@gmail.com</t>
  </si>
  <si>
    <t>03286297594</t>
  </si>
  <si>
    <t xml:space="preserve">Malik Muhammad kaif </t>
  </si>
  <si>
    <t xml:space="preserve">Malik Abdul Majeed </t>
  </si>
  <si>
    <t>Basti khara niazi wala p/o baseera tehsil and district muzaffargarh</t>
  </si>
  <si>
    <t xml:space="preserve">Muhammad faisal </t>
  </si>
  <si>
    <t>03063699287</t>
  </si>
  <si>
    <t>faisalmajeed422@gmail.com</t>
  </si>
  <si>
    <t>https://drive.google.com/open?id=1d35MXGdEG7nciy2Sjk5kD2eH1PFp12Ky</t>
  </si>
  <si>
    <t>https://drive.google.com/open?id=1HUbRjYAz-f1ZDfd18l397yjQ1hG4iRba</t>
  </si>
  <si>
    <t>https://drive.google.com/open?id=16IELl9r1xLD2HAIqKjT6ZK5tPrv4SI28</t>
  </si>
  <si>
    <t>https://drive.google.com/open?id=1XYxxU_PgIfYXQBIUVVfXIbT4ebUbecWF</t>
  </si>
  <si>
    <t>zohaiqbal651@gmail.com</t>
  </si>
  <si>
    <t>03714044069</t>
  </si>
  <si>
    <t>Zoha iqbal</t>
  </si>
  <si>
    <t>Iqbal hussain</t>
  </si>
  <si>
    <t>Gcuf jhung road staff colony house no B1-06 .</t>
  </si>
  <si>
    <t>O3026053297</t>
  </si>
  <si>
    <t>https://drive.google.com/open?id=1EvXO5YvDq8KkZmKOMzQJBqgvQ0oxjTie</t>
  </si>
  <si>
    <t>https://drive.google.com/open?id=1jkOxaxAJSyatnIUCbjt9R-Qnhmm3GjlQ</t>
  </si>
  <si>
    <t>https://drive.google.com/open?id=12rVGMnD6HBEyKMA9b94oCG6S6Srg1_RT</t>
  </si>
  <si>
    <t>https://drive.google.com/open?id=1gBCLkNY3yLwzkAfOyRHZcp_3Oo2_h0b5</t>
  </si>
  <si>
    <t>realdawoodimran@gmail.com</t>
  </si>
  <si>
    <t>03030311924</t>
  </si>
  <si>
    <t>Dawood Imran</t>
  </si>
  <si>
    <t>Imran Iftikhar</t>
  </si>
  <si>
    <t>33100-3135429-1</t>
  </si>
  <si>
    <t xml:space="preserve">Peoples Colony No 2, House No 1101B,Faisalabad </t>
  </si>
  <si>
    <t>03008650358</t>
  </si>
  <si>
    <t>imraniftikhar358@gmail.com</t>
  </si>
  <si>
    <t>https://drive.google.com/open?id=1tqSSBAtzxrrw6IXGBwYrXiMIGW-7X0iX</t>
  </si>
  <si>
    <t>https://drive.google.com/open?id=1LU3Z5rWiObP0J6YySn9r1G_0VyJwfkHC</t>
  </si>
  <si>
    <t>https://drive.google.com/open?id=1PqR210RnLxTR3jKckKTg4b2KDR1KD_gP</t>
  </si>
  <si>
    <t>https://drive.google.com/open?id=1S0-4Qyqo3kdV6AtH7B0_GhXd1dnRUp_0</t>
  </si>
  <si>
    <t>muhammadmuheeb702@gmail.com</t>
  </si>
  <si>
    <t>03710661266</t>
  </si>
  <si>
    <t>Muhammad Muheeb</t>
  </si>
  <si>
    <t>Muhammad Ashfaq</t>
  </si>
  <si>
    <t>33301-8967379-5</t>
  </si>
  <si>
    <t>Street No.2, house P-16, Aziz park, Gojra</t>
  </si>
  <si>
    <t>03007967357</t>
  </si>
  <si>
    <t>maansari357@gmail.com</t>
  </si>
  <si>
    <t>https://drive.google.com/open?id=1a-FgJoYmDONnO3EuUN-gU2moQyt6_GXO</t>
  </si>
  <si>
    <t>https://drive.google.com/open?id=14cFH85JvZrFhxAiUvP38EVO-xqfHdP-c</t>
  </si>
  <si>
    <t>https://drive.google.com/open?id=1a7pfuPbLx1b25gRpgamb6IZoE7jfvnkU</t>
  </si>
  <si>
    <t>https://drive.google.com/open?id=1PqUwFCO6rpa3g_j08FR87A4w4aiK3rxF</t>
  </si>
  <si>
    <t>mianhamzaswift623@gmail.com</t>
  </si>
  <si>
    <t>03277907229</t>
  </si>
  <si>
    <t xml:space="preserve">Hamza Tariq </t>
  </si>
  <si>
    <t>Muhammad Tariq Latif</t>
  </si>
  <si>
    <t>33104-7656446-1</t>
  </si>
  <si>
    <t xml:space="preserve">P-33, Rapid Garden, Green Town, Faisalabad </t>
  </si>
  <si>
    <t>03006535177</t>
  </si>
  <si>
    <t>mtariq.latif40@gmail.com</t>
  </si>
  <si>
    <t>https://drive.google.com/open?id=1UyWdAQzLPzKNSZIxjDSx18x9FymevD2r</t>
  </si>
  <si>
    <t>https://drive.google.com/open?id=14XmtTHqd8JnYBOnW5ijuUidrCaNor5kt</t>
  </si>
  <si>
    <t>https://drive.google.com/open?id=1rsEPmGR4JZ3XNuGa_6aQ9iD8l36_-2OU</t>
  </si>
  <si>
    <t>https://drive.google.com/open?id=1_aXSqF_L2yCaEEyeDwVeQx7ftzYO8Kpx</t>
  </si>
  <si>
    <t>aleehaarslan110@gmail.com</t>
  </si>
  <si>
    <t>03218556110</t>
  </si>
  <si>
    <t xml:space="preserve">Aleeha Arslan </t>
  </si>
  <si>
    <t>Arslan Yaqoob</t>
  </si>
  <si>
    <t>33102-5494522-6</t>
  </si>
  <si>
    <t xml:space="preserve">Hamza Block, Green View Colony, Faisalabad </t>
  </si>
  <si>
    <t xml:space="preserve">Arslan Yaqoob </t>
  </si>
  <si>
    <t>03018558110</t>
  </si>
  <si>
    <t>https://drive.google.com/open?id=1Ko36ryGaOxcIRbOMODW2JJLP0fn2MN8l</t>
  </si>
  <si>
    <t>https://drive.google.com/open?id=1FjlQUyoPaE-4nPplxVWCscqCsQR-E0kT</t>
  </si>
  <si>
    <t>huda00333111@gmail.com</t>
  </si>
  <si>
    <t>03091908762</t>
  </si>
  <si>
    <t xml:space="preserve">Huda Noor </t>
  </si>
  <si>
    <t xml:space="preserve">Arshad Ali </t>
  </si>
  <si>
    <t xml:space="preserve">House no 251 d block madina chownk ghulam Muhammad abad Faisalabad </t>
  </si>
  <si>
    <t>03046313927</t>
  </si>
  <si>
    <t>hajiarshadalimuhammad@gmail.com</t>
  </si>
  <si>
    <t>https://drive.google.com/open?id=1NinmtNMjwBXc0lQFJwbrrzwewtS_TC38</t>
  </si>
  <si>
    <t>https://drive.google.com/open?id=1Ms9tVDVGJQy57IXYTmzcOMDVzW-y4Pl9</t>
  </si>
  <si>
    <t>https://drive.google.com/open?id=1vy1mYooRkRgwx-LZrA7Vh_-h4Y4Kv3la</t>
  </si>
  <si>
    <t>https://drive.google.com/open?id=1Y8QQQnPrsAkhFeV-wllBVunj2sl_aWL0</t>
  </si>
  <si>
    <t>dr.muhammadmahad@gmail.com</t>
  </si>
  <si>
    <t>03331755920</t>
  </si>
  <si>
    <t>MUHAMMAD MAHAD</t>
  </si>
  <si>
    <t>IFTIKHAR AHMAD</t>
  </si>
  <si>
    <t>33102-3898416-7</t>
  </si>
  <si>
    <t>House No. 1620, D-Type Colony, Faisalabad</t>
  </si>
  <si>
    <t xml:space="preserve">IFTIKHAR AHMAD </t>
  </si>
  <si>
    <t>03017013792</t>
  </si>
  <si>
    <t>iftikhar4551@gmail.com</t>
  </si>
  <si>
    <t>https://drive.google.com/open?id=19cWjba07NPQU-1nfgJnxaSOFSeDTjEJC</t>
  </si>
  <si>
    <t>https://drive.google.com/open?id=1Z1Bf31dVQJF2NlQIn0CtB9YdY5woctAr</t>
  </si>
  <si>
    <t>https://drive.google.com/open?id=1LQPESOSXDNNZ4ycBBM1b52MgUwydh5TN</t>
  </si>
  <si>
    <t>https://drive.google.com/open?id=1Mlnb4rTEPihTkKaPjbZ8_ayO7GgltZZl</t>
  </si>
  <si>
    <t>dr.aroojfatima19@gmail.com</t>
  </si>
  <si>
    <t>03237296594</t>
  </si>
  <si>
    <t xml:space="preserve">Arooj Fatima </t>
  </si>
  <si>
    <t>M.Shahzad</t>
  </si>
  <si>
    <t>33102-6425177-0</t>
  </si>
  <si>
    <t xml:space="preserve">Rasheed Abad jhng road fsd st 1 house 5 </t>
  </si>
  <si>
    <t xml:space="preserve">M. Shahzad </t>
  </si>
  <si>
    <t>0305 2251753</t>
  </si>
  <si>
    <t>dr.aroojfatima10@gmail.com</t>
  </si>
  <si>
    <t>saadm9315@gmail.com</t>
  </si>
  <si>
    <t>03195382660</t>
  </si>
  <si>
    <t>Muhammad Sajjad</t>
  </si>
  <si>
    <t xml:space="preserve">Vpo bheen tehsil dist Chakwal </t>
  </si>
  <si>
    <t>03345295290</t>
  </si>
  <si>
    <t>https://drive.google.com/open?id=1TJiI2NOOKe8bWkG84pn0jhR8CS0SVQy1</t>
  </si>
  <si>
    <t>https://drive.google.com/open?id=1gL-Hm8mOgnT4Rdi5L7G3IHUkFyNBNoiW</t>
  </si>
  <si>
    <t>https://drive.google.com/open?id=1TcdkKKsry3ytDTe2yLGzbPl-HQN9ystV</t>
  </si>
  <si>
    <t>https://drive.google.com/open?id=114VQ_n7guZUoRfhMVG0IjfsP8LTg0-9j</t>
  </si>
  <si>
    <t>aroojaslam806@gmail.com</t>
  </si>
  <si>
    <t>03356107519</t>
  </si>
  <si>
    <t>Arooj Aslam</t>
  </si>
  <si>
    <t>House no 256 , housing colony no 2 Layyah</t>
  </si>
  <si>
    <t>03097793844</t>
  </si>
  <si>
    <t>aslam7626897@gmail.com</t>
  </si>
  <si>
    <t>https://drive.google.com/open?id=1G7LC2jh3tarzQmZrY7m1jaxkQEhmYuS4</t>
  </si>
  <si>
    <t>https://drive.google.com/open?id=1703n7OdKgHLX898-aiWPcEonjEP8Oifa</t>
  </si>
  <si>
    <t>https://drive.google.com/open?id=1sYQWNnlwnqJlht4EsoA0Gi5HbfXJbntc</t>
  </si>
  <si>
    <t>https://drive.google.com/open?id=1hyNWzNHRCU8O371_fcRx9OqFtgPKTdGt</t>
  </si>
  <si>
    <t>mshafay3838@gmail.com</t>
  </si>
  <si>
    <t>03338053838</t>
  </si>
  <si>
    <t>Muhammad shafay yousaf</t>
  </si>
  <si>
    <t>Muhammad yousaf sheikh</t>
  </si>
  <si>
    <t>38101-2960017-5</t>
  </si>
  <si>
    <t>Sheikh street mohalla eid gah janubi bhakkar.</t>
  </si>
  <si>
    <t>033326652929</t>
  </si>
  <si>
    <t>sohaibyousaf251@gmail.com</t>
  </si>
  <si>
    <t>https://drive.google.com/open?id=11SMb5CeLktZ4UFry582jv7aj9hI3PsIU</t>
  </si>
  <si>
    <t>https://drive.google.com/open?id=1OMoxwHYvAqc0Azfg0eqodwRfeCFk6lyL</t>
  </si>
  <si>
    <t>https://drive.google.com/open?id=1972hCFjTOZwB1K33fwxG5z5FxXsbgzPf</t>
  </si>
  <si>
    <t>https://drive.google.com/open?id=1tvbeAQmhQm2A7JyyoD-9B31e9ehfryoY</t>
  </si>
  <si>
    <t>aneeqahussain04@gmail.com</t>
  </si>
  <si>
    <t>03176323421</t>
  </si>
  <si>
    <t>Aneeqa Hussain</t>
  </si>
  <si>
    <t>Ashiq Hussain Khan</t>
  </si>
  <si>
    <t>Sewag House Ward no. 5 Sajjad Colony Mohalla Eid Gah Layyah</t>
  </si>
  <si>
    <t xml:space="preserve">Ashiq Hussain Khan </t>
  </si>
  <si>
    <t>03237334796</t>
  </si>
  <si>
    <t>ashiqhussainkhan1953@gmail.com</t>
  </si>
  <si>
    <t>https://drive.google.com/open?id=1PL8h4mfQcGBR7RzYJiEU5HdqmcqgL83b</t>
  </si>
  <si>
    <t>https://drive.google.com/open?id=15Gipe-7PU4gRLMBfEKhsH_ywnTR_9ctE</t>
  </si>
  <si>
    <t>https://drive.google.com/open?id=1amBpFJOFjL45Gaajw0cR436vb8TkL91U</t>
  </si>
  <si>
    <t>https://drive.google.com/open?id=1U5DgSaFozJRHuQK3czgoi-Cv3jQuYrjG</t>
  </si>
  <si>
    <t>zeeshanshani5580@gmail.com</t>
  </si>
  <si>
    <t>03194170622</t>
  </si>
  <si>
    <t xml:space="preserve">Muhammad Zeeshan </t>
  </si>
  <si>
    <t xml:space="preserve">Muhammad Shaban </t>
  </si>
  <si>
    <t>Rasool Pura near railway station kasur</t>
  </si>
  <si>
    <t xml:space="preserve">Muhammad shaban </t>
  </si>
  <si>
    <t>03235283059</t>
  </si>
  <si>
    <t>https://drive.google.com/open?id=12CFjR_oJKg8Z6-BOhwiptnAvAy1d8dC7</t>
  </si>
  <si>
    <t>https://drive.google.com/open?id=1rT7dzuIxL7wIa53ftOh1NJOoxXUZPj61</t>
  </si>
  <si>
    <t>https://drive.google.com/open?id=1ookceN6DTvRVh27DdQ0-uXV_qmAY3sE4</t>
  </si>
  <si>
    <t>https://drive.google.com/open?id=1gdX2SuGN3NWkhlWP-cYVgqeaut2enJD6</t>
  </si>
  <si>
    <t>03009658394</t>
  </si>
  <si>
    <t>https://drive.google.com/open?id=1rvlv1fB2AOPg9O-TdGANSZuGI-rLbPgM</t>
  </si>
  <si>
    <t>https://drive.google.com/open?id=1Ata0KsBrTLlmH1Lv5XyUZf5zsiG5IwUC</t>
  </si>
  <si>
    <t>https://drive.google.com/open?id=192mm6VVIfJjgqhb4tGJJ8Jkxnr3dHPkD</t>
  </si>
  <si>
    <t>https://drive.google.com/open?id=1pjAkZR5qGTrSbhzY7QSJDs3Xoo96cnU0</t>
  </si>
  <si>
    <t>zainabjavaid2005@gmail.com</t>
  </si>
  <si>
    <t xml:space="preserve">Zainabjavaid2005@gmail.com </t>
  </si>
  <si>
    <t>03406756713</t>
  </si>
  <si>
    <t>Muhammad Javed Akhtar</t>
  </si>
  <si>
    <t>Chak 13 Randhir GB district nankana sahib</t>
  </si>
  <si>
    <t>03456456889</t>
  </si>
  <si>
    <t xml:space="preserve">Shaziasaeed1973@gmail.com </t>
  </si>
  <si>
    <t>https://drive.google.com/open?id=1yrpob7GEtnp11sDnbHofiLuiO69ruuUD</t>
  </si>
  <si>
    <t>https://drive.google.com/open?id=1N6V5lRVqVgLzdzu9bZ2CQ9jTwsVneQXx</t>
  </si>
  <si>
    <t>https://drive.google.com/open?id=1krBqB4iRTPtpSaSSqqQOpV4PCTObmjQr</t>
  </si>
  <si>
    <t>https://drive.google.com/open?id=1ifvdkHuyr4IEVx6caBBa0O6AzudInA2p</t>
  </si>
  <si>
    <t>zwaqar45@gmail.com</t>
  </si>
  <si>
    <t>03107835451</t>
  </si>
  <si>
    <t>Zainab Waqar</t>
  </si>
  <si>
    <t>Waqar Ahmed</t>
  </si>
  <si>
    <t xml:space="preserve">House no8 abubakar block muslim town Faisalabad </t>
  </si>
  <si>
    <t xml:space="preserve">Mamoona Waqar </t>
  </si>
  <si>
    <t>03219173277</t>
  </si>
  <si>
    <t>mamoonamamoonawaqar@gmail.com</t>
  </si>
  <si>
    <t>https://drive.google.com/open?id=1az8HOKQzyOxlV96kZGgezlTs6h35-9si</t>
  </si>
  <si>
    <t>https://drive.google.com/open?id=136rPLoIMv9cOpUdoWJQq1QqnS0L5Ixpv</t>
  </si>
  <si>
    <t>https://drive.google.com/open?id=15L6cdYFrCCamMHcDS5DvSWkhDYJTVIe_</t>
  </si>
  <si>
    <t>gujjarmuhammadusman15@gmail.com</t>
  </si>
  <si>
    <t>03483880425</t>
  </si>
  <si>
    <t xml:space="preserve">Muhammad Usman Akram </t>
  </si>
  <si>
    <t xml:space="preserve">Muhammad Akram </t>
  </si>
  <si>
    <t>33201-3709956-7</t>
  </si>
  <si>
    <t xml:space="preserve">Shadi pur p/O Adda Sheikhan Tehsil Lalian District Chiniot </t>
  </si>
  <si>
    <t>03467380425</t>
  </si>
  <si>
    <t>chmakram13@gmail.com</t>
  </si>
  <si>
    <t>https://drive.google.com/open?id=1CTrPQ_WSG4so-fNx7Nn_lERJCoF6vCyZ</t>
  </si>
  <si>
    <t>https://drive.google.com/open?id=1upoGZc1q4bkLwcJ2XcZQhJW8Bduc-OZs</t>
  </si>
  <si>
    <t>https://drive.google.com/open?id=1jCkVeK_gnAEgwgZ9qTshkzjhI_FKpR5u</t>
  </si>
  <si>
    <t>https://drive.google.com/open?id=1RI_J_AkogtaYlAjPhZiAMY3pwDT7niLC</t>
  </si>
  <si>
    <t>rumaisaf402@gmail.com</t>
  </si>
  <si>
    <t>0316-5411129</t>
  </si>
  <si>
    <t>Rumaisa Fatima</t>
  </si>
  <si>
    <t>Muhammad Yaqoob Saqib Alvi</t>
  </si>
  <si>
    <t>37405-2806486-6</t>
  </si>
  <si>
    <t>House#1058, Awan Street, Mughalabad Road, Rawalpindi Cantt</t>
  </si>
  <si>
    <t>Muhanmad Yaqoob Saqib Alvi</t>
  </si>
  <si>
    <t>0321-5350046</t>
  </si>
  <si>
    <t>https://drive.google.com/open?id=1NN1kkhtYq2xsz9Rz56COtJ5PdTHbWxeD</t>
  </si>
  <si>
    <t>https://drive.google.com/open?id=1zOmingxsGOEv889WkRu_kRmqxQduoHrW</t>
  </si>
  <si>
    <t>https://drive.google.com/open?id=1zCrAmnDMlR3fWPyFWWKJz-ubnxVpq1XO</t>
  </si>
  <si>
    <t>https://drive.google.com/open?id=1-bAzhrbEz75I42lO68iJEN2zTwsqzm3X</t>
  </si>
  <si>
    <t>zabisandhu690@gmail.com</t>
  </si>
  <si>
    <t>03006433667</t>
  </si>
  <si>
    <t>Kashaf eman</t>
  </si>
  <si>
    <t xml:space="preserve">Muhammad yaseen </t>
  </si>
  <si>
    <t>33102-6384160-6</t>
  </si>
  <si>
    <t xml:space="preserve">Chak no 100 JB Qasim pur Faisalabad </t>
  </si>
  <si>
    <t>https://drive.google.com/open?id=1wIMXIvehLhMvsDd4asqhfo_FfVAVLqVr</t>
  </si>
  <si>
    <t>https://drive.google.com/open?id=1TT7qbHVAnWrgM5i1XI3EuON_og4qqq75</t>
  </si>
  <si>
    <t>https://drive.google.com/open?id=1fDpRUJUzYBVJi7OwijGmVkl_TBZ4S7ar</t>
  </si>
  <si>
    <t>https://drive.google.com/open?id=17xPO-v0Nt3V-rsinj7lSb6put8l_gdj6</t>
  </si>
  <si>
    <t xml:space="preserve">Amina Hassan </t>
  </si>
  <si>
    <t xml:space="preserve">Haveli lakha , okara </t>
  </si>
  <si>
    <t>03017070896</t>
  </si>
  <si>
    <t>https://drive.google.com/open?id=1tQaKsg11x3X6UQ5RgtbjoExt1OgSv9FU</t>
  </si>
  <si>
    <t>https://drive.google.com/open?id=1yukF623XoU8KThMsktGi3nyyI4lOvCxu</t>
  </si>
  <si>
    <t>https://drive.google.com/open?id=1ogtI0k8QfTdN8_xL88Ke3Qhm64BgeS-p</t>
  </si>
  <si>
    <t>https://drive.google.com/open?id=11nNXZ1cwlxd0gkXfTzY7-iQQ7fsre0we</t>
  </si>
  <si>
    <t xml:space="preserve">106 RB Chaudhary Wala Jaranwala Faisalabad </t>
  </si>
  <si>
    <t>03281018106</t>
  </si>
  <si>
    <t>https://drive.google.com/open?id=1HPXkyCJYtoVXLQqcEAHA_Fb6Y0fFxlTO</t>
  </si>
  <si>
    <t>https://drive.google.com/open?id=1pZ8ZjDo5Lse3FDaODkqmINzb11sg0Pp-</t>
  </si>
  <si>
    <t>https://drive.google.com/open?id=18_7t-D5rZGuBHEwbS0hRlPrAemPFJo30</t>
  </si>
  <si>
    <t>https://drive.google.com/open?id=1LUHOtrR1n0jEUWM7Gykz3x-Vv9p0VQ1l</t>
  </si>
  <si>
    <t>Nigheban pura block C street no 3 house no p1292, Faisalabad</t>
  </si>
  <si>
    <t xml:space="preserve">Samina Shaheen </t>
  </si>
  <si>
    <t>samina.shaheen0311@gmail.com</t>
  </si>
  <si>
    <t>https://drive.google.com/open?id=1yHxUS_-QF4ZHc0VFNigboNXIVmln9uwO</t>
  </si>
  <si>
    <t>https://drive.google.com/open?id=1B47vyw_Ke4EieO30_L-YMZrDd5ASQtT2</t>
  </si>
  <si>
    <t>https://drive.google.com/open?id=1XQtx3pRcKxgW4O0KxRGiAjaHYl3bCAi8</t>
  </si>
  <si>
    <t>https://drive.google.com/open?id=1p08kofaG683dXtaG8V61ARwarA2z-m5b</t>
  </si>
  <si>
    <t>mbboss321@gmail.com</t>
  </si>
  <si>
    <t>03244200557</t>
  </si>
  <si>
    <t>Muhammad Burhan Aslam</t>
  </si>
  <si>
    <t xml:space="preserve">Faisal Colony 01, street 01 , house 307 , Okara </t>
  </si>
  <si>
    <t>03226962303</t>
  </si>
  <si>
    <t>https://drive.google.com/open?id=12MgmtgpztGMzXG_dnntKl7CJOYzRumtI</t>
  </si>
  <si>
    <t>https://drive.google.com/open?id=1n-2zfNI-0oHsKhNSG4EGHyiRX9zuJDtI</t>
  </si>
  <si>
    <t>https://drive.google.com/open?id=1bsJCdrmUpp4YWNrOJtalEI104VBomssH</t>
  </si>
  <si>
    <t>https://drive.google.com/open?id=1Auwy73ulFf5CD8T6Zv2EL5m1Nwu0OzSt</t>
  </si>
  <si>
    <t>doctorfarhan190@gmail.com</t>
  </si>
  <si>
    <t>mianfarhan2138520@gmail.com</t>
  </si>
  <si>
    <t>03098657929</t>
  </si>
  <si>
    <t>Farhan</t>
  </si>
  <si>
    <t>Arif Hussain</t>
  </si>
  <si>
    <t xml:space="preserve">Maqbool Road Peoples colony #2 Faisalabad </t>
  </si>
  <si>
    <t xml:space="preserve">Arif Hussain </t>
  </si>
  <si>
    <t>03257767529</t>
  </si>
  <si>
    <t>https://drive.google.com/open?id=1h3awQWtLizAAWJ-i2CyEy7niOctYpgyk</t>
  </si>
  <si>
    <t>https://drive.google.com/open?id=1EMZaWVl6QdiRIgwx1UJjuIdAbZMFoR-1</t>
  </si>
  <si>
    <t>https://drive.google.com/open?id=1CKh6yHwt4FafnYxy6OJzKJk6jlOeqw1d</t>
  </si>
  <si>
    <t>https://drive.google.com/open?id=15sEoC7-3hEIzIhS5UaT8apyT-wbKUlcZ</t>
  </si>
  <si>
    <t>mukarramwaseem09@gmail.com</t>
  </si>
  <si>
    <t>03127378988</t>
  </si>
  <si>
    <t>Mukarram Waseem</t>
  </si>
  <si>
    <t>Muhammad Waseem</t>
  </si>
  <si>
    <t>34101-7332764-7</t>
  </si>
  <si>
    <t xml:space="preserve">House number 380 G-Block Royal Palm City Gujranwala </t>
  </si>
  <si>
    <t>03008725541</t>
  </si>
  <si>
    <t>rowaseem@yahoo.com</t>
  </si>
  <si>
    <t>https://drive.google.com/open?id=1PNrbvZ8rt71VEoWdI6Fs4cVbRvzv7EBK</t>
  </si>
  <si>
    <t>https://drive.google.com/open?id=16bB3kUj4LZAyEZ0lmYZr-YkWeGK7B5gP</t>
  </si>
  <si>
    <t>https://drive.google.com/open?id=1af_DiVtTQU2-FaBxKyWz6Oln6yT3JsJ2</t>
  </si>
  <si>
    <t>https://drive.google.com/open?id=1J3VKmZJSeRI2V0y6YzEpFZHglSHAB8D5</t>
  </si>
  <si>
    <t>Muhammad Shahzad Ahmad</t>
  </si>
  <si>
    <t xml:space="preserve">Muhammad Shahzad Ahmad </t>
  </si>
  <si>
    <t>03052251753</t>
  </si>
  <si>
    <t>https://drive.google.com/open?id=1-VeCED8wRiM3MxQzq5h9QFjvOKEherDr</t>
  </si>
  <si>
    <t>https://drive.google.com/open?id=1z9trFZgsoTz4rltE5x1i76sRigv9PbvT</t>
  </si>
  <si>
    <t>https://drive.google.com/open?id=1TTr6giI8WObzLDIbqpNS-XzaQS8jfpw3</t>
  </si>
  <si>
    <t>https://drive.google.com/open?id=1TmEuXIEdlj62Ml9RTBqK7-AMGxQGc__9</t>
  </si>
  <si>
    <t>33100-7136665-0</t>
  </si>
  <si>
    <t>House no. P131 street 08 Tariqabad Faisalabad</t>
  </si>
  <si>
    <t>https://drive.google.com/open?id=1H2ye1eR-4xQmsLNYsIf8g4K7VCCR-ooT</t>
  </si>
  <si>
    <t>https://drive.google.com/open?id=1uXrqeG0HTrcWPpIVerLwIuCA9bZBN6Hj</t>
  </si>
  <si>
    <t>https://drive.google.com/open?id=17Saf4W-Z8tQ4U2C3bmDHxLnxVJJdyztu</t>
  </si>
  <si>
    <t>https://drive.google.com/open?id=1V8JA6usaREmn_fzCXgkz2RxMKoNc75wm</t>
  </si>
  <si>
    <t>farukhan484496@gmail.com</t>
  </si>
  <si>
    <t>03083852784</t>
  </si>
  <si>
    <t xml:space="preserve">MUHAMMAD FARHAN MEHDI </t>
  </si>
  <si>
    <t xml:space="preserve">GHULAM ABID KHAN </t>
  </si>
  <si>
    <t>Sahu wala Jadeed post office Qasba Balochan khokhar isra that Tehsil karor lal essan District layyah</t>
  </si>
  <si>
    <t>MUHAMMAD Arslan  Abid</t>
  </si>
  <si>
    <t>Guardian</t>
  </si>
  <si>
    <t>03140416189</t>
  </si>
  <si>
    <t>nomikhan484496@gmail.com</t>
  </si>
  <si>
    <t>https://drive.google.com/open?id=1lDyFAG7uJXBKyxUvoA3RbypGZJGr9gqx</t>
  </si>
  <si>
    <t>https://drive.google.com/open?id=1YsEqC2oiJypZFLR0sUtcpETq5T1e4BBG</t>
  </si>
  <si>
    <t>https://drive.google.com/open?id=1608mjIvW0AIuoSVvVqH8t-vyt4dkWwbl</t>
  </si>
  <si>
    <t>https://drive.google.com/open?id=1UmmbEUVJOGoHR_mkudgR0vcfxpCXGXxF</t>
  </si>
  <si>
    <t>khalidqavi205@gmail.com</t>
  </si>
  <si>
    <t>03114282059</t>
  </si>
  <si>
    <t xml:space="preserve">Muhammad Abdullah Khalid </t>
  </si>
  <si>
    <t xml:space="preserve">Ch Khalid Mehmood Qawi </t>
  </si>
  <si>
    <t>33105-4441219-7</t>
  </si>
  <si>
    <t xml:space="preserve">75- G ,G Block Chenab Garden Samundri Road Faisalabad </t>
  </si>
  <si>
    <t>09</t>
  </si>
  <si>
    <t>03016020492</t>
  </si>
  <si>
    <t>khalidqavi40@gmail.com</t>
  </si>
  <si>
    <t>https://drive.google.com/open?id=1Ma8nrsY1tD9uTu_7OQCJ-oD67BOcmxwE</t>
  </si>
  <si>
    <t>https://drive.google.com/open?id=12IAw_lcwvOYlj2_E8jxRFGN7XjEhJpjX</t>
  </si>
  <si>
    <t>https://drive.google.com/open?id=1H1VoaZO9-SzIs_Np_Ml0Mrgtx5dMKKGz</t>
  </si>
  <si>
    <t>https://drive.google.com/open?id=1EZxmqK-7oug3JinPSA79gb6bH_-KjJqE</t>
  </si>
  <si>
    <t>danishjutt4481003497@gmail.com</t>
  </si>
  <si>
    <t>03155453220</t>
  </si>
  <si>
    <t xml:space="preserve">Muhammad Danish Akhtar </t>
  </si>
  <si>
    <t xml:space="preserve">Muhammad Akhtar </t>
  </si>
  <si>
    <t xml:space="preserve">Chak no 228 TDA Fateh pur karror District Layyah </t>
  </si>
  <si>
    <t>03456198361</t>
  </si>
  <si>
    <t>danishali4481003@gmail.com</t>
  </si>
  <si>
    <t>https://drive.google.com/open?id=1IVyVIPIQwioxb9GTQ8S9uf5WlRJZYuRe</t>
  </si>
  <si>
    <t>https://drive.google.com/open?id=1iMkMxsmWziTxvZm3qA8T3Ar6zo60nTkn</t>
  </si>
  <si>
    <t>https://drive.google.com/open?id=1I_2Xz4UFbPD6BYf-u2ZdW14nr8ve1rXd</t>
  </si>
  <si>
    <t>https://drive.google.com/open?id=1w2eSHsFcbaPRxeXN7daeUwkszlgFneGT</t>
  </si>
  <si>
    <t>ayeshasadia676@gmail.com</t>
  </si>
  <si>
    <t>0308 7128154</t>
  </si>
  <si>
    <t xml:space="preserve">Ayesha Sadia </t>
  </si>
  <si>
    <t xml:space="preserve">Nusrullah </t>
  </si>
  <si>
    <t>33102-2542267-2</t>
  </si>
  <si>
    <t>Chamanzar colony street No.1, main warispura road, Faisalabad.</t>
  </si>
  <si>
    <t>0342 6893225</t>
  </si>
  <si>
    <t>https://drive.google.com/open?id=12Mw8CV7DXQHtju2l3UBS1hkgo5a0bTX4</t>
  </si>
  <si>
    <t>https://drive.google.com/open?id=14dReWY1TcSGWgCi6pIWqjGdPNuPwfvhu</t>
  </si>
  <si>
    <t>https://drive.google.com/open?id=1IJw2MNC0yd_fCw_a-eWs3-BamNJaWQFb</t>
  </si>
  <si>
    <t>https://drive.google.com/open?id=1ei3yzO-iKcSi3-WUv2Faw-QcAixTiACG</t>
  </si>
  <si>
    <t>hussainbahadur786@gmail.com</t>
  </si>
  <si>
    <t>03036320539</t>
  </si>
  <si>
    <t xml:space="preserve">Hussain Bahadur Khan </t>
  </si>
  <si>
    <t>Mukhtiar Hussain Khan</t>
  </si>
  <si>
    <t>Chak No 114-A TDA P/O Shahpur Dorrata Tehsil And District Layyah</t>
  </si>
  <si>
    <t xml:space="preserve">Mukhtiar Hussain Khan </t>
  </si>
  <si>
    <t>03006844358</t>
  </si>
  <si>
    <t>https://drive.google.com/open?id=1fjLBHKQjZ29OGxsM5ocqWfa9O9olvKZh</t>
  </si>
  <si>
    <t>https://drive.google.com/open?id=1FP_9_0pGFZNFl7pYwj8WBvP6kK-8328G</t>
  </si>
  <si>
    <t>https://drive.google.com/open?id=1RNZ8vRzkDPUHbnybUDFDV--yr5zSfN9q</t>
  </si>
  <si>
    <t>https://drive.google.com/open?id=1K66kfZjCfaVtkHbC7MiuA6CBF3s4etKf</t>
  </si>
  <si>
    <t>maherhusnain838@gmail.com</t>
  </si>
  <si>
    <t>03017858006</t>
  </si>
  <si>
    <t>Muhammad Husnain</t>
  </si>
  <si>
    <t>Muhammad Amin</t>
  </si>
  <si>
    <t>Chak no 129/TDA p/o Lalazar tehsil and district Layyah</t>
  </si>
  <si>
    <t>03464965129</t>
  </si>
  <si>
    <t>maheramin838@gmail.com</t>
  </si>
  <si>
    <t>https://drive.google.com/open?id=1IqP5DXzNLKQs7UjbwOpyTNZoOvZO0uPZ</t>
  </si>
  <si>
    <t>https://drive.google.com/open?id=1X0d446yJNzx-sbPTOImNEvLost9wiGeE</t>
  </si>
  <si>
    <t>https://drive.google.com/open?id=1K16W4nR7eqfm5wsUVxm3GsSpLgLXAgFe</t>
  </si>
  <si>
    <t>https://drive.google.com/open?id=1T9THd1TZ2JH8ee2VmZiYJgF_0UzQFf7R</t>
  </si>
  <si>
    <t>33100-1808-4319</t>
  </si>
  <si>
    <t xml:space="preserve">130 F Block Millat Town Faisalabad </t>
  </si>
  <si>
    <t>https://drive.google.com/open?id=11V-NEnxYzQ8TCcDdI5Y0MAeFO2v2uJkv</t>
  </si>
  <si>
    <t>https://drive.google.com/open?id=14kkZ4yMRJwHjPczyspqjwueuY5SccNi3</t>
  </si>
  <si>
    <t>https://drive.google.com/open?id=1Q8pC_0ouTeM6oD9PVPGiT43ZJHwFA3hd</t>
  </si>
  <si>
    <t>https://drive.google.com/open?id=18CGRE7M9effYwzwUdniO26-X67_DAiad</t>
  </si>
  <si>
    <t>mu1989762@gmail.com</t>
  </si>
  <si>
    <t>03264554646</t>
  </si>
  <si>
    <t>Muhammad Sarfraz</t>
  </si>
  <si>
    <t>34103-3799960-1</t>
  </si>
  <si>
    <t>Muhallah madinah masjid Baddo Ratta road Nowshera Virkan Gujranwala</t>
  </si>
  <si>
    <t>03008762359</t>
  </si>
  <si>
    <t>https://drive.google.com/open?id=1J0DX5QMpsRJM3TaWIE7Y0kfEOPxFf2Vg</t>
  </si>
  <si>
    <t>https://drive.google.com/open?id=1UTOAmbUWp-OKHyc2ZVRuVG7Ai2uiYPGI</t>
  </si>
  <si>
    <t>https://drive.google.com/open?id=1BWl4SQjuXpuSfmIec7nh55IR_W7MMVcV</t>
  </si>
  <si>
    <t>https://drive.google.com/open?id=12-PIZchIFhcxexLsfMuqP-At5T9XBIQE</t>
  </si>
  <si>
    <t xml:space="preserve">Muhammad Akbar </t>
  </si>
  <si>
    <t xml:space="preserve">P-329, street no.1, rabani colony no.2, satyana road, Faisalabad </t>
  </si>
  <si>
    <t>https://drive.google.com/open?id=1UHG_1hr58zLrC72YTOBGjpGx9iklQdV9</t>
  </si>
  <si>
    <t>https://drive.google.com/open?id=1igJuXXDXfqCs2ie4tTkUiK71h1stff-E</t>
  </si>
  <si>
    <t>https://drive.google.com/open?id=1YdRka1nYs-0xZvMCGf8m3PD7rVWVpTlk</t>
  </si>
  <si>
    <t>https://drive.google.com/open?id=1nq6WwyOal-ja7i66408wRee2551SQhO1</t>
  </si>
  <si>
    <t>nidaghafoor37@gmail.com</t>
  </si>
  <si>
    <t>0326 1631480</t>
  </si>
  <si>
    <t xml:space="preserve">Nida Ghafoor </t>
  </si>
  <si>
    <t>33100-0975510-0</t>
  </si>
  <si>
    <t xml:space="preserve">204/R.B faisalabad </t>
  </si>
  <si>
    <t xml:space="preserve">Rizwan Ghafoor </t>
  </si>
  <si>
    <t>0301 6036321</t>
  </si>
  <si>
    <t>albatross32642@gmail.com</t>
  </si>
  <si>
    <t>https://drive.google.com/open?id=19ejjN0QirASZ5tbLe7txW5Fb_ZAWfPuY</t>
  </si>
  <si>
    <t>https://drive.google.com/open?id=1RSonPzXt7h3LKhAz5r55GomzmnK5DaSO</t>
  </si>
  <si>
    <t>https://drive.google.com/open?id=1eAbI4eXu3SDHBwfjdLZAFMPE4FJFxCX3</t>
  </si>
  <si>
    <t>https://drive.google.com/open?id=1KjclwqATfI_N7CEr-wKGhBOp8BKT4mbN</t>
  </si>
  <si>
    <t xml:space="preserve">Amna Asif </t>
  </si>
  <si>
    <t xml:space="preserve">Muhammad Asif </t>
  </si>
  <si>
    <t>Upper portion of Honda showroom near wapda office in front of the football stadium tehsil samundri,fsd</t>
  </si>
  <si>
    <t>https://drive.google.com/open?id=1eBIn_Rok1uAu3bsbktINwzRaa1wQszDZ</t>
  </si>
  <si>
    <t>https://drive.google.com/open?id=1_fblCbIcOE-QteBz8Sl3b2dikljweALN</t>
  </si>
  <si>
    <t>https://drive.google.com/open?id=1dE4g4vsugrCTVqcfaPhO4aLnSVnP60fl</t>
  </si>
  <si>
    <t>https://drive.google.com/open?id=1uSArLKheax6uh5hHKCFLZP3DvUc0Nc86</t>
  </si>
  <si>
    <t>zainabnoor8784240@gmail.com</t>
  </si>
  <si>
    <t>03078547112</t>
  </si>
  <si>
    <t>Zainab noor</t>
  </si>
  <si>
    <t>Amir jalil</t>
  </si>
  <si>
    <t>Gulistan colony 100A</t>
  </si>
  <si>
    <t>03007217418</t>
  </si>
  <si>
    <t>mianbilal6262@gmail.com</t>
  </si>
  <si>
    <t>https://drive.google.com/open?id=1bFd5mmak8KYZszMRJMNiWF2StAPMO5CG</t>
  </si>
  <si>
    <t>https://drive.google.com/open?id=14yjfRAVgPf6jjhltfg0yzFCizmUk4N4P</t>
  </si>
  <si>
    <t>https://drive.google.com/open?id=13FMMYj9Ntne_Jqob0HIOFHZVqvptgftP</t>
  </si>
  <si>
    <t>https://drive.google.com/open?id=1XMBybar2UfhwLNdzgvlCuVWfdIJYaPax</t>
  </si>
  <si>
    <t>https://drive.google.com/open?id=1dHl6EEpeU6Eym6cVie7hKrygDd2pAHuC</t>
  </si>
  <si>
    <t>https://drive.google.com/open?id=1GX9VYt6-4ZLDwKVMRZARK1Eo_7S1TW01</t>
  </si>
  <si>
    <t>https://drive.google.com/open?id=1q_43vlc1HNJ8SHolwlymAck9k_BNS6AB</t>
  </si>
  <si>
    <t>https://drive.google.com/open?id=1W4TfqylxLMND_4v2xkwUnRijeV5y9bjO</t>
  </si>
  <si>
    <t>haseebsarwar32@gmail.com</t>
  </si>
  <si>
    <t>03099878751</t>
  </si>
  <si>
    <t xml:space="preserve">Muhammad Haseeb Sarwar </t>
  </si>
  <si>
    <t>Sarwar Rasheed</t>
  </si>
  <si>
    <t>84A lalazar coloney burewala</t>
  </si>
  <si>
    <t>Asma Rasheed</t>
  </si>
  <si>
    <t>0309 9878751</t>
  </si>
  <si>
    <t>https://drive.google.com/open?id=1dNF5wVlpDf7hyj9zTIbVuZE8G8UkPH8n</t>
  </si>
  <si>
    <t>https://drive.google.com/open?id=1vyJnhC23wg89LuoDHFJU4QIMiV1iNhba</t>
  </si>
  <si>
    <t>https://drive.google.com/open?id=1HwijsMMPPBIxUN8CeE_8qePKjBN3ZgIU</t>
  </si>
  <si>
    <t>https://drive.google.com/open?id=1hEZ4-LU-NwQkwUno7E4E8HgFfE51mP9c</t>
  </si>
  <si>
    <t>muhammadumairk980@gmail.com</t>
  </si>
  <si>
    <t>03274186370</t>
  </si>
  <si>
    <t>Muhammad Umair Khan</t>
  </si>
  <si>
    <t>Charagh Hussain</t>
  </si>
  <si>
    <t>36104-8026386-3</t>
  </si>
  <si>
    <t>Chak no 17/8R, chak no 1/8R, tehsil mianch</t>
  </si>
  <si>
    <t>03001692723</t>
  </si>
  <si>
    <t>https://drive.google.com/open?id=18CTRPs9NXkbF2VkaXSrmHpN21cc245m0</t>
  </si>
  <si>
    <t>https://drive.google.com/open?id=1m_6nd_DXh33jiNRe1HIoLjqIJt9jqaWc</t>
  </si>
  <si>
    <t>https://drive.google.com/open?id=1z6w9-XiAX0ymECKPZj5jCBnt3CaqwZeY</t>
  </si>
  <si>
    <t>https://drive.google.com/open?id=1OK0ai0aREZfVO1zMi-IDmJpRZ5Byg1S8</t>
  </si>
  <si>
    <t xml:space="preserve">Charagh Hussain </t>
  </si>
  <si>
    <t>P.O Chak no. 17/8R, Chak no. 1/8R, tehsil Mianchannu, district Khanewal</t>
  </si>
  <si>
    <t>https://drive.google.com/open?id=1qyc8piLCOfpjEZydVAPNKhH_gELx2w7Y</t>
  </si>
  <si>
    <t>https://drive.google.com/open?id=1YBq7h1e-diVS92unk6P8MPlUHEVk3Dst</t>
  </si>
  <si>
    <t>https://drive.google.com/open?id=17pL6Z6irKqiyvESlSGmu0jgSQqOD7a6e</t>
  </si>
  <si>
    <t>https://drive.google.com/open?id=1CR1TipEvGn01UfZA9nnTOkJZQgO6wC0p</t>
  </si>
  <si>
    <t>samarriaz432@gmail.com</t>
  </si>
  <si>
    <t>03471721076</t>
  </si>
  <si>
    <t xml:space="preserve">Samar Riaz </t>
  </si>
  <si>
    <t xml:space="preserve">P/O Sheikhan, Shareen Awan, Tehsil Lalian, District Chiniot </t>
  </si>
  <si>
    <t>03450196434</t>
  </si>
  <si>
    <t>samarriaz1075@gmail.com</t>
  </si>
  <si>
    <t>https://drive.google.com/open?id=1nPQZ65ycxtcQegbtCH0MyvHfUTJ8qQjZ</t>
  </si>
  <si>
    <t>https://drive.google.com/open?id=15Snnxxg4Do89EPus3FPCB-4lpeoRFz2n</t>
  </si>
  <si>
    <t>https://drive.google.com/open?id=1pZQXU6CxCoP1GucX4wbIh8vzqHK7AFmx</t>
  </si>
  <si>
    <t>https://drive.google.com/open?id=1zRwWJS65mf--OouW7kxpurmkRKAYJSZd</t>
  </si>
  <si>
    <t>mrashid3110@gmail.com</t>
  </si>
  <si>
    <t>03097023971</t>
  </si>
  <si>
    <t xml:space="preserve">Muhammad Tariq </t>
  </si>
  <si>
    <t xml:space="preserve">Basheer Ahmad </t>
  </si>
  <si>
    <t>32203-7114914-1</t>
  </si>
  <si>
    <t xml:space="preserve">Post office peer jaggi chack no.171/TDA Tehsil and District Layyah </t>
  </si>
  <si>
    <t>03090530597</t>
  </si>
  <si>
    <t>mrashid31102015@gmail.com</t>
  </si>
  <si>
    <t>https://drive.google.com/open?id=1x5fuVaXHxPnUp7h34TyJimSnkt7PAYFm</t>
  </si>
  <si>
    <t>https://drive.google.com/open?id=1OAAWXA69d78tsVAUdKy5-nAwTnrM4h9C</t>
  </si>
  <si>
    <t>https://drive.google.com/open?id=1xhukwLg-MK5sJ59551q47b0qF6LWFzEM</t>
  </si>
  <si>
    <t>https://drive.google.com/open?id=15TzpDA9fBBQKAVXu9QH7_hmLbZLYDZfa</t>
  </si>
  <si>
    <t>ayesharasool1508@gmail.com</t>
  </si>
  <si>
    <t>03271604295</t>
  </si>
  <si>
    <t>Ayesha</t>
  </si>
  <si>
    <t>Ghulam rasool</t>
  </si>
  <si>
    <t>P-5 ghaffar park gojra</t>
  </si>
  <si>
    <t>03271504295</t>
  </si>
  <si>
    <t>kashafrasool295@gmail.con</t>
  </si>
  <si>
    <t>https://drive.google.com/open?id=1ZXnpZRYb1t1CN_0Vcusaaj-REK5vqml8</t>
  </si>
  <si>
    <t>https://drive.google.com/open?id=1eJMkNGLfS7jiwzXvEAdPs4eYFfiWAB1G</t>
  </si>
  <si>
    <t>https://drive.google.com/open?id=1ddIlNC_GuQ6Sf6BdvGcEmc2KSLQ7KK9G</t>
  </si>
  <si>
    <t>https://drive.google.com/open?id=1MkfInyX24pRiFiGcFBXVlz5hP9IWnLJU</t>
  </si>
  <si>
    <t>arsheentariqkhan@gmail.com</t>
  </si>
  <si>
    <t>03194408855</t>
  </si>
  <si>
    <t xml:space="preserve">Arsheen Tariq khan </t>
  </si>
  <si>
    <t xml:space="preserve">Tariq Aziz khan </t>
  </si>
  <si>
    <t xml:space="preserve">Nizam abad street no 1 burewala </t>
  </si>
  <si>
    <t>Arshad khan nizami</t>
  </si>
  <si>
    <t>03336999686</t>
  </si>
  <si>
    <t>doctorzahra214@gmail.com</t>
  </si>
  <si>
    <t>03166694513</t>
  </si>
  <si>
    <t>Fatima Akhtar</t>
  </si>
  <si>
    <t>Muhammad Akhtar</t>
  </si>
  <si>
    <t>Pull daat near MC primary school no 16 Rukan Abad colony DG khan</t>
  </si>
  <si>
    <t xml:space="preserve">Samia Sana </t>
  </si>
  <si>
    <t>03349626123</t>
  </si>
  <si>
    <t>mayubakhtar214@gmail.com</t>
  </si>
  <si>
    <t>https://drive.google.com/open?id=1ULAskByYsOxPeBw-C_a8fvNXkKt94vaS</t>
  </si>
  <si>
    <t>https://drive.google.com/open?id=1lXj3XHHS3jz9XC3zbiB3swNb99EbNTwQ</t>
  </si>
  <si>
    <t xml:space="preserve">Nizam abad street no 1 </t>
  </si>
  <si>
    <t>Arshad nizami</t>
  </si>
  <si>
    <t xml:space="preserve">Maira Khurram </t>
  </si>
  <si>
    <t>https://drive.google.com/open?id=1X_FoEB2THxHt-pHAzilA7ADiaKvWe-eT</t>
  </si>
  <si>
    <t>https://drive.google.com/open?id=1-84ztx-jemCDVxZbOn8Vtu2ZCA8Gxq68</t>
  </si>
  <si>
    <t>https://drive.google.com/open?id=1swAj3DfnD4RmeK0UCK_khvQrVHd7Gj4O</t>
  </si>
  <si>
    <t>https://drive.google.com/open?id=1ELFD7Akf92fBONtlkvpTa3xC2YS7NM8y</t>
  </si>
  <si>
    <t xml:space="preserve">Arif Ali </t>
  </si>
  <si>
    <t xml:space="preserve">Village #54 JB Dhotian faisalabad </t>
  </si>
  <si>
    <t>https://drive.google.com/open?id=1wZrFCbLFCiZv9lLGWWibknMAl-kT1Ri_</t>
  </si>
  <si>
    <t>https://drive.google.com/open?id=1M_aebPMGCHNTuQot34yFc2h38dgyMrBV</t>
  </si>
  <si>
    <t>https://drive.google.com/open?id=1C7KT33MHIhfTdrAcBcgyC3ZbhzK-Rjjx</t>
  </si>
  <si>
    <t>https://drive.google.com/open?id=1fhaIqThWsT0iNS2NieyYc0gu4OmZ5Pjq</t>
  </si>
  <si>
    <t>alinamalik251207@gmail.com</t>
  </si>
  <si>
    <t>03046769839</t>
  </si>
  <si>
    <t>Alina Malik</t>
  </si>
  <si>
    <t>Riaz Hussain</t>
  </si>
  <si>
    <t>32203-8992417-6</t>
  </si>
  <si>
    <t>Chak no 148 C/TDA kalma chowk bypass layyah</t>
  </si>
  <si>
    <t>03006760848</t>
  </si>
  <si>
    <t>aliiiimalik429@gmail.com</t>
  </si>
  <si>
    <t>https://drive.google.com/open?id=19T-4vVjHSyljpquMu3WuFCP-l5q0WGYi</t>
  </si>
  <si>
    <t>https://drive.google.com/open?id=14cdZiYPjWBihXZNWbO7S-4YAHh25edeD</t>
  </si>
  <si>
    <t>https://drive.google.com/open?id=1Ftvw-J38_ff1Qmp1J4ZaOT04l9w9ef-k</t>
  </si>
  <si>
    <t>https://drive.google.com/open?id=1yItAbdA6RmBNFLe_sEouzGUU-MgWdnhJ</t>
  </si>
  <si>
    <t>syedmuhammadbaqar506@gmail.com</t>
  </si>
  <si>
    <t>03206201514</t>
  </si>
  <si>
    <t xml:space="preserve">Nuzarat Batool </t>
  </si>
  <si>
    <t xml:space="preserve">Syed Muhammad Husnain Shah </t>
  </si>
  <si>
    <t>34301-0419687-0</t>
  </si>
  <si>
    <t xml:space="preserve">Kot qasim post office shah jamal District hafizabad </t>
  </si>
  <si>
    <t>03410072722</t>
  </si>
  <si>
    <t>s27481349@gmail.com</t>
  </si>
  <si>
    <t>https://drive.google.com/open?id=1LmSCZl6qIp7CRDe1axLJziWjxGnxJr2n</t>
  </si>
  <si>
    <t>https://drive.google.com/open?id=1gqnhjYWV6b6tZjU02o0saUNp6f9y6oaD</t>
  </si>
  <si>
    <t>https://drive.google.com/open?id=1HsFGxUHYwRbkeTRCfI8KPz_k-4nfAKDw</t>
  </si>
  <si>
    <t>https://drive.google.com/open?id=1y7NA7BzttNFRWkQctIG5ZVkGyeIXpDR5</t>
  </si>
  <si>
    <t>mkinza127@gmail.com</t>
  </si>
  <si>
    <t>0327 0489274</t>
  </si>
  <si>
    <t>Kinza Malik</t>
  </si>
  <si>
    <t>Afzal khan</t>
  </si>
  <si>
    <t>38302 86509264</t>
  </si>
  <si>
    <t>Mohallah azizabad vpo chakrala tehsil district  mianwali</t>
  </si>
  <si>
    <t>0312 5465250</t>
  </si>
  <si>
    <t>uzmamalik877@gmail.com</t>
  </si>
  <si>
    <t>https://drive.google.com/open?id=1atlaoQTUWVI15NO5xZBIlLXiGxlLbFnT</t>
  </si>
  <si>
    <t>https://drive.google.com/open?id=160h2WyCij2bKsD3BCfhlvj7HM3GulL3_</t>
  </si>
  <si>
    <t>https://drive.google.com/open?id=114NrbM05is2wYTNBcSpXO2fKsK7UO5Nl</t>
  </si>
  <si>
    <t>https://drive.google.com/open?id=1w73U9kX5ixVAa1KgRH2u_Z1gWAxiS4Gk</t>
  </si>
  <si>
    <t>rizwanhadia2@gmail.com</t>
  </si>
  <si>
    <t xml:space="preserve">rizwanhadia2@gmail.com </t>
  </si>
  <si>
    <t>03444494789</t>
  </si>
  <si>
    <t xml:space="preserve">Hadia Rizwan </t>
  </si>
  <si>
    <t xml:space="preserve">Rizwan Irshad </t>
  </si>
  <si>
    <t>33102-5158966-6</t>
  </si>
  <si>
    <t xml:space="preserve">House no:12, Street no:3, Model town C, Jail road, Faisalabad </t>
  </si>
  <si>
    <t>Benish Sheraz</t>
  </si>
  <si>
    <t>0345-7894789</t>
  </si>
  <si>
    <t>https://drive.google.com/open?id=1HI9rFcSuPfCWT6PThnrm8RXxLNRU3Xao</t>
  </si>
  <si>
    <t>https://drive.google.com/open?id=185KCnIW4KfWsxvLtjSyU-l5nja9fMMD3</t>
  </si>
  <si>
    <t>https://drive.google.com/open?id=1NYD0TXcYJ8RKBD1VrS0ZC5Eb9hLbYbq5</t>
  </si>
  <si>
    <t>https://drive.google.com/open?id=1yRwRx0s8XtNKX0K-nOCgOzUHFUbyUy6B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</si>
</sst>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dd/mm/yyyy"/>
  </numFmts>
  <fonts count="6">
    <font>
      <sz val="10.0"/>
      <color rgb="FF000000"/>
      <name val="Arial"/>
      <scheme val="minor"/>
    </font>
    <font>
      <color theme="1"/>
      <name val="Roboto"/>
    </font>
    <font>
      <color theme="1"/>
      <name val="Arial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1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1" fillId="2" fontId="3" numFmtId="164" xfId="0" applyAlignment="1" applyBorder="1" applyFill="1" applyFont="1" applyNumberFormat="1">
      <alignment horizontal="right" shrinkToFit="0" vertical="center" wrapText="0"/>
    </xf>
    <xf borderId="2" fillId="2" fontId="3" numFmtId="0" xfId="0" applyAlignment="1" applyBorder="1" applyFont="1">
      <alignment shrinkToFit="0" vertical="center" wrapText="0"/>
    </xf>
    <xf quotePrefix="1" borderId="2" fillId="2" fontId="3" numFmtId="0" xfId="0" applyAlignment="1" applyBorder="1" applyFont="1">
      <alignment shrinkToFit="0" vertical="center" wrapText="0"/>
    </xf>
    <xf borderId="2" fillId="2" fontId="3" numFmtId="165" xfId="0" applyAlignment="1" applyBorder="1" applyFont="1" applyNumberFormat="1">
      <alignment shrinkToFit="0" vertical="center" wrapText="0"/>
    </xf>
    <xf borderId="2" fillId="2" fontId="3" numFmtId="165" xfId="0" applyAlignment="1" applyBorder="1" applyFont="1" applyNumberFormat="1">
      <alignment horizontal="right" shrinkToFit="0" vertical="center" wrapText="0"/>
    </xf>
    <xf borderId="2" fillId="2" fontId="3" numFmtId="0" xfId="0" applyAlignment="1" applyBorder="1" applyFont="1">
      <alignment horizontal="right" shrinkToFit="0" vertical="center" wrapText="0"/>
    </xf>
    <xf borderId="2" fillId="2" fontId="3" numFmtId="2" xfId="0" applyAlignment="1" applyBorder="1" applyFont="1" applyNumberFormat="1">
      <alignment horizontal="right" shrinkToFit="0" vertical="center" wrapText="0"/>
    </xf>
    <xf borderId="2" fillId="2" fontId="4" numFmtId="0" xfId="0" applyAlignment="1" applyBorder="1" applyFont="1">
      <alignment shrinkToFit="0" vertical="center" wrapText="0"/>
    </xf>
    <xf borderId="3" fillId="2" fontId="3" numFmtId="0" xfId="0" applyAlignment="1" applyBorder="1" applyFont="1">
      <alignment shrinkToFit="0" vertical="center" wrapText="0"/>
    </xf>
    <xf borderId="4" fillId="3" fontId="3" numFmtId="164" xfId="0" applyAlignment="1" applyBorder="1" applyFill="1" applyFont="1" applyNumberFormat="1">
      <alignment horizontal="right" shrinkToFit="0" vertical="center" wrapText="0"/>
    </xf>
    <xf borderId="5" fillId="3" fontId="3" numFmtId="0" xfId="0" applyAlignment="1" applyBorder="1" applyFont="1">
      <alignment shrinkToFit="0" vertical="center" wrapText="0"/>
    </xf>
    <xf quotePrefix="1" borderId="5" fillId="3" fontId="3" numFmtId="0" xfId="0" applyAlignment="1" applyBorder="1" applyFont="1">
      <alignment shrinkToFit="0" vertical="center" wrapText="0"/>
    </xf>
    <xf borderId="5" fillId="3" fontId="3" numFmtId="165" xfId="0" applyAlignment="1" applyBorder="1" applyFont="1" applyNumberFormat="1">
      <alignment shrinkToFit="0" vertical="center" wrapText="0"/>
    </xf>
    <xf borderId="5" fillId="3" fontId="3" numFmtId="165" xfId="0" applyAlignment="1" applyBorder="1" applyFont="1" applyNumberFormat="1">
      <alignment horizontal="right" shrinkToFit="0" vertical="center" wrapText="0"/>
    </xf>
    <xf borderId="5" fillId="3" fontId="3" numFmtId="0" xfId="0" applyAlignment="1" applyBorder="1" applyFont="1">
      <alignment horizontal="right" shrinkToFit="0" vertical="center" wrapText="0"/>
    </xf>
    <xf borderId="5" fillId="3" fontId="3" numFmtId="2" xfId="0" applyAlignment="1" applyBorder="1" applyFont="1" applyNumberFormat="1">
      <alignment horizontal="right" shrinkToFit="0" vertical="center" wrapText="0"/>
    </xf>
    <xf borderId="5" fillId="3" fontId="5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2" fillId="2" fontId="3" numFmtId="165" xfId="0" applyAlignment="1" applyBorder="1" applyFont="1" applyNumberFormat="1">
      <alignment horizontal="center" shrinkToFit="0" vertical="center" wrapText="0"/>
    </xf>
    <xf borderId="5" fillId="3" fontId="3" numFmtId="165" xfId="0" applyAlignment="1" applyBorder="1" applyFont="1" applyNumberFormat="1">
      <alignment horizontal="center" shrinkToFit="0" vertical="center" wrapText="0"/>
    </xf>
    <xf borderId="5" fillId="3" fontId="2" numFmtId="0" xfId="0" applyAlignment="1" applyBorder="1" applyFont="1">
      <alignment shrinkToFit="0" vertical="center" wrapText="0"/>
    </xf>
    <xf borderId="7" fillId="3" fontId="3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7" fillId="2" fontId="3" numFmtId="0" xfId="0" applyAlignment="1" applyBorder="1" applyFont="1">
      <alignment shrinkToFit="0" vertical="center" wrapText="0"/>
    </xf>
    <xf borderId="5" fillId="3" fontId="3" numFmtId="2" xfId="0" applyAlignment="1" applyBorder="1" applyFont="1" applyNumberFormat="1">
      <alignment shrinkToFit="0" vertical="center" wrapText="0"/>
    </xf>
    <xf borderId="1" fillId="2" fontId="2" numFmtId="164" xfId="0" applyAlignment="1" applyBorder="1" applyFont="1" applyNumberFormat="1">
      <alignment shrinkToFit="0" vertical="center" wrapText="0"/>
    </xf>
    <xf borderId="2" fillId="2" fontId="2" numFmtId="165" xfId="0" applyAlignment="1" applyBorder="1" applyFont="1" applyNumberFormat="1">
      <alignment shrinkToFit="0" vertical="center" wrapText="0"/>
    </xf>
    <xf borderId="2" fillId="2" fontId="2" numFmtId="2" xfId="0" applyAlignment="1" applyBorder="1" applyFont="1" applyNumberFormat="1">
      <alignment shrinkToFit="0" vertical="center" wrapText="0"/>
    </xf>
    <xf borderId="3" fillId="2" fontId="2" numFmtId="0" xfId="0" applyAlignment="1" applyBorder="1" applyFont="1">
      <alignment shrinkToFit="0" vertical="center" wrapText="0"/>
    </xf>
    <xf borderId="4" fillId="3" fontId="2" numFmtId="164" xfId="0" applyAlignment="1" applyBorder="1" applyFont="1" applyNumberFormat="1">
      <alignment shrinkToFit="0" vertical="center" wrapText="0"/>
    </xf>
    <xf borderId="5" fillId="3" fontId="2" numFmtId="165" xfId="0" applyAlignment="1" applyBorder="1" applyFont="1" applyNumberFormat="1">
      <alignment shrinkToFit="0" vertical="center" wrapText="0"/>
    </xf>
    <xf borderId="5" fillId="3" fontId="2" numFmtId="2" xfId="0" applyAlignment="1" applyBorder="1" applyFont="1" applyNumberFormat="1">
      <alignment shrinkToFit="0" vertical="center" wrapText="0"/>
    </xf>
    <xf borderId="6" fillId="3" fontId="2" numFmtId="0" xfId="0" applyAlignment="1" applyBorder="1" applyFont="1">
      <alignment shrinkToFit="0" vertical="center" wrapText="0"/>
    </xf>
    <xf borderId="8" fillId="3" fontId="2" numFmtId="164" xfId="0" applyAlignment="1" applyBorder="1" applyFont="1" applyNumberFormat="1">
      <alignment shrinkToFit="0" vertical="center" wrapText="0"/>
    </xf>
    <xf borderId="9" fillId="3" fontId="2" numFmtId="0" xfId="0" applyAlignment="1" applyBorder="1" applyFont="1">
      <alignment shrinkToFit="0" vertical="center" wrapText="0"/>
    </xf>
    <xf borderId="9" fillId="3" fontId="3" numFmtId="0" xfId="0" applyAlignment="1" applyBorder="1" applyFont="1">
      <alignment shrinkToFit="0" vertical="center" wrapText="0"/>
    </xf>
    <xf borderId="9" fillId="3" fontId="2" numFmtId="165" xfId="0" applyAlignment="1" applyBorder="1" applyFont="1" applyNumberFormat="1">
      <alignment shrinkToFit="0" vertical="center" wrapText="0"/>
    </xf>
    <xf borderId="9" fillId="3" fontId="2" numFmtId="2" xfId="0" applyAlignment="1" applyBorder="1" applyFont="1" applyNumberFormat="1">
      <alignment shrinkToFit="0" vertical="center" wrapText="0"/>
    </xf>
    <xf borderId="10" fillId="3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383" displayName="Table1" name="Table1" id="1">
  <tableColumns count="26">
    <tableColumn name="Timestamp" id="1"/>
    <tableColumn name="Email Address" id="2"/>
    <tableColumn name="Email address" id="3"/>
    <tableColumn name="Mobile phone number" id="4"/>
    <tableColumn name="Mobile phone number (E.164)" id="5"/>
    <tableColumn name="Full name (as per CNIC/B-Form)" id="6"/>
    <tableColumn name="Father / Guardian name" id="7"/>
    <tableColumn name="CNIC / B-Form number" id="8"/>
    <tableColumn name="CNIC / B-Form number 2" id="9"/>
    <tableColumn name="Column 26" id="10"/>
    <tableColumn name="Date of birth" id="11"/>
    <tableColumn name="Gender" id="12"/>
    <tableColumn name="Permanent address" id="13"/>
    <tableColumn name="Program applied / admitted to" id="14"/>
    <tableColumn name="MDCAT roll number" id="15"/>
    <tableColumn name="FMU Roll Number" id="16"/>
    <tableColumn name="MDCAT percentage" id="17"/>
    <tableColumn name="Guardian name" id="18"/>
    <tableColumn name="Relation with student" id="19"/>
    <tableColumn name="Guardian phone number (WhatsApp preferred)" id="20"/>
    <tableColumn name="Guardian email" id="21"/>
    <tableColumn name="Passport-size photograph (UPLOAD HERE)" id="22"/>
    <tableColumn name="CNIC / B-Form copy (UPLOAD HERE)" id="23"/>
    <tableColumn name="Matric/SSC Certificate" id="24"/>
    <tableColumn name="Fsc. HSSC Certificate" id="25"/>
    <tableColumn name="Declaration" id="2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J3OMArf2_xM-sv-WF78ic758uo9laYs3" TargetMode="External"/><Relationship Id="rId194" Type="http://schemas.openxmlformats.org/officeDocument/2006/relationships/hyperlink" Target="https://drive.google.com/open?id=1mUNM7TBZNjCRRGpLpWNWyPfrdVswq4n6" TargetMode="External"/><Relationship Id="rId193" Type="http://schemas.openxmlformats.org/officeDocument/2006/relationships/hyperlink" Target="https://drive.google.com/open?id=1LmVhlieKHAKui47GmDcXs8K0a-GG2XR9" TargetMode="External"/><Relationship Id="rId192" Type="http://schemas.openxmlformats.org/officeDocument/2006/relationships/hyperlink" Target="https://drive.google.com/open?id=1ldTfRciyPn6ao3elLVeKeZFS9ylNlRu6" TargetMode="External"/><Relationship Id="rId191" Type="http://schemas.openxmlformats.org/officeDocument/2006/relationships/hyperlink" Target="https://drive.google.com/open?id=1u9AZobjy3HYfY1E93veJmrBP6wrmA4eu" TargetMode="External"/><Relationship Id="rId187" Type="http://schemas.openxmlformats.org/officeDocument/2006/relationships/hyperlink" Target="https://drive.google.com/open?id=1zLDDO_6MQ5eiMPr_Teq_dLxeGjqN5PgK" TargetMode="External"/><Relationship Id="rId186" Type="http://schemas.openxmlformats.org/officeDocument/2006/relationships/hyperlink" Target="https://drive.google.com/open?id=1ovDLQWyo4BEigVG8-igr6zauXeX657Rg" TargetMode="External"/><Relationship Id="rId185" Type="http://schemas.openxmlformats.org/officeDocument/2006/relationships/hyperlink" Target="https://drive.google.com/open?id=19D-d8-GC5rSgmdYYXFz9U2USJKZuSSY4" TargetMode="External"/><Relationship Id="rId184" Type="http://schemas.openxmlformats.org/officeDocument/2006/relationships/hyperlink" Target="https://drive.google.com/open?id=124klt5hmB3qE23aS_P8AErmK6cwGxLZi" TargetMode="External"/><Relationship Id="rId189" Type="http://schemas.openxmlformats.org/officeDocument/2006/relationships/hyperlink" Target="https://drive.google.com/open?id=16eDlRzK3o3nheGhdV9c9chKNP8lnrPsd" TargetMode="External"/><Relationship Id="rId188" Type="http://schemas.openxmlformats.org/officeDocument/2006/relationships/hyperlink" Target="https://drive.google.com/open?id=1U207Zq4tFJGtzSGizlqi8mohxFKya7RR" TargetMode="External"/><Relationship Id="rId183" Type="http://schemas.openxmlformats.org/officeDocument/2006/relationships/hyperlink" Target="https://drive.google.com/open?id=1I74D2GmGf4iNNpF2cqt5xx5dbMK2laYK" TargetMode="External"/><Relationship Id="rId182" Type="http://schemas.openxmlformats.org/officeDocument/2006/relationships/hyperlink" Target="https://drive.google.com/open?id=1b8dTRkKLfYEd1WDiJt2tOADKMU97KXq3" TargetMode="External"/><Relationship Id="rId181" Type="http://schemas.openxmlformats.org/officeDocument/2006/relationships/hyperlink" Target="https://drive.google.com/open?id=1D2JMRzlUmYwMOPOuL8BH8asl5Mlm2sHb" TargetMode="External"/><Relationship Id="rId180" Type="http://schemas.openxmlformats.org/officeDocument/2006/relationships/hyperlink" Target="https://drive.google.com/open?id=1SbJFfjBKJiCMI9YuHgDu97RtijQJ96dK" TargetMode="External"/><Relationship Id="rId176" Type="http://schemas.openxmlformats.org/officeDocument/2006/relationships/hyperlink" Target="https://drive.google.com/open?id=1-2D3gQZkjNaLv2666c13MJqMfiBiaYCv" TargetMode="External"/><Relationship Id="rId175" Type="http://schemas.openxmlformats.org/officeDocument/2006/relationships/hyperlink" Target="https://drive.google.com/open?id=1_X3R2V1zNT9yYPRJNZeRd8_5l0dQoZ_b" TargetMode="External"/><Relationship Id="rId174" Type="http://schemas.openxmlformats.org/officeDocument/2006/relationships/hyperlink" Target="https://drive.google.com/open?id=1GoPVU9hgwcClgXVpVBrilgXCjHXV35sL" TargetMode="External"/><Relationship Id="rId173" Type="http://schemas.openxmlformats.org/officeDocument/2006/relationships/hyperlink" Target="https://drive.google.com/open?id=1Gyh-J5j4c_Xs9V5UamKU_maqA-TwU-eS" TargetMode="External"/><Relationship Id="rId179" Type="http://schemas.openxmlformats.org/officeDocument/2006/relationships/hyperlink" Target="https://drive.google.com/open?id=1nqJ85GFQUnhmULCmjDWqXMv8b8Zdd2f1" TargetMode="External"/><Relationship Id="rId178" Type="http://schemas.openxmlformats.org/officeDocument/2006/relationships/hyperlink" Target="https://drive.google.com/open?id=1pewMeY-UfnjMniuKKtvQQ2ev_yWqoUde" TargetMode="External"/><Relationship Id="rId177" Type="http://schemas.openxmlformats.org/officeDocument/2006/relationships/hyperlink" Target="https://drive.google.com/open?id=1Wup33PRn3n3XkgdFOimXqj1MGz5KuX3J" TargetMode="External"/><Relationship Id="rId198" Type="http://schemas.openxmlformats.org/officeDocument/2006/relationships/hyperlink" Target="https://drive.google.com/open?id=1xIJQclWs3oSbcLy4tRzSf9gWnQu7xN1x" TargetMode="External"/><Relationship Id="rId197" Type="http://schemas.openxmlformats.org/officeDocument/2006/relationships/hyperlink" Target="https://drive.google.com/open?id=1_K4MuhJcfM3C2Y9qYz8bXAVtgDmKGHca" TargetMode="External"/><Relationship Id="rId196" Type="http://schemas.openxmlformats.org/officeDocument/2006/relationships/hyperlink" Target="https://drive.google.com/open?id=18cP67QD-rVdKug-oxaqrCtkcnAKFlyfh" TargetMode="External"/><Relationship Id="rId195" Type="http://schemas.openxmlformats.org/officeDocument/2006/relationships/hyperlink" Target="https://drive.google.com/open?id=18syQFsiCBTMxDRsfN8-j3Ex2oW3MLnla" TargetMode="External"/><Relationship Id="rId199" Type="http://schemas.openxmlformats.org/officeDocument/2006/relationships/hyperlink" Target="https://drive.google.com/open?id=1n1RiOKjqjFdy1ris1MRcyT_imEdQCYdY" TargetMode="External"/><Relationship Id="rId150" Type="http://schemas.openxmlformats.org/officeDocument/2006/relationships/hyperlink" Target="https://drive.google.com/open?id=1QpLehFVS5gB7zOfeN_ilvVNPFltq0Leo" TargetMode="External"/><Relationship Id="rId392" Type="http://schemas.openxmlformats.org/officeDocument/2006/relationships/hyperlink" Target="https://drive.google.com/open?id=16Pl4spJTrNMvRtr8Qu47rLLfVGraxH3h" TargetMode="External"/><Relationship Id="rId391" Type="http://schemas.openxmlformats.org/officeDocument/2006/relationships/hyperlink" Target="https://drive.google.com/open?id=1L2xn_wnypYeIx2_spXwVJXn-Vq_6qk38" TargetMode="External"/><Relationship Id="rId390" Type="http://schemas.openxmlformats.org/officeDocument/2006/relationships/hyperlink" Target="https://drive.google.com/open?id=1OAcJxcIQgsh9Hd0WmZz5LUL0_v92DcLI" TargetMode="External"/><Relationship Id="rId1" Type="http://schemas.openxmlformats.org/officeDocument/2006/relationships/hyperlink" Target="https://drive.google.com/open?id=1kpawZZceyFVkv0qmYWVpYuAxzx_w6nDp" TargetMode="External"/><Relationship Id="rId2" Type="http://schemas.openxmlformats.org/officeDocument/2006/relationships/hyperlink" Target="https://drive.google.com/open?id=1Wn5DYyVi9nPyvqdomSm7f4mJUV1DWirT" TargetMode="External"/><Relationship Id="rId3" Type="http://schemas.openxmlformats.org/officeDocument/2006/relationships/hyperlink" Target="https://drive.google.com/open?id=1pypB16BeahH-z0-Ls_yvwoEaDWZ5QDuo" TargetMode="External"/><Relationship Id="rId149" Type="http://schemas.openxmlformats.org/officeDocument/2006/relationships/hyperlink" Target="https://drive.google.com/open?id=16bCmi-gIkMQ4f2pPETJXK2OSE58R8r0g" TargetMode="External"/><Relationship Id="rId4" Type="http://schemas.openxmlformats.org/officeDocument/2006/relationships/hyperlink" Target="https://drive.google.com/open?id=1H-F_yJN22ziXdeI3R0GYJExdm9A3LSNa" TargetMode="External"/><Relationship Id="rId148" Type="http://schemas.openxmlformats.org/officeDocument/2006/relationships/hyperlink" Target="https://drive.google.com/open?id=1wU-1Bfa_A-lDVCOejouvzvkUhxFeAzDE" TargetMode="External"/><Relationship Id="rId9" Type="http://schemas.openxmlformats.org/officeDocument/2006/relationships/hyperlink" Target="https://drive.google.com/open?id=1X5u76ReWaWJi5y9_y7fG_VbzR0IWCw8b" TargetMode="External"/><Relationship Id="rId143" Type="http://schemas.openxmlformats.org/officeDocument/2006/relationships/hyperlink" Target="https://drive.google.com/open?id=1kUF3qA82-0SoDJBNvObZScTKNNmyuwCt" TargetMode="External"/><Relationship Id="rId385" Type="http://schemas.openxmlformats.org/officeDocument/2006/relationships/hyperlink" Target="https://drive.google.com/open?id=1bmABeViw6TYHBLeVtdzalxknHKFzl0Tp" TargetMode="External"/><Relationship Id="rId142" Type="http://schemas.openxmlformats.org/officeDocument/2006/relationships/hyperlink" Target="http://muhammadhussain9231.gmail.com" TargetMode="External"/><Relationship Id="rId384" Type="http://schemas.openxmlformats.org/officeDocument/2006/relationships/hyperlink" Target="https://drive.google.com/open?id=1tSgnBtBn1VCLdI2CKz6zEXPc75Sl4FtK" TargetMode="External"/><Relationship Id="rId141" Type="http://schemas.openxmlformats.org/officeDocument/2006/relationships/hyperlink" Target="https://drive.google.com/open?id=1bNaNoELyZu4MkrLCuLnoHwXf33S2_Ms6" TargetMode="External"/><Relationship Id="rId383" Type="http://schemas.openxmlformats.org/officeDocument/2006/relationships/hyperlink" Target="https://drive.google.com/open?id=1FLqLqq-TUMc9gJzJ4QMTf1OxtobUnsmq" TargetMode="External"/><Relationship Id="rId140" Type="http://schemas.openxmlformats.org/officeDocument/2006/relationships/hyperlink" Target="https://drive.google.com/open?id=1u0dl8wqfwNYQXtPBmvier4yKShObiw0M" TargetMode="External"/><Relationship Id="rId382" Type="http://schemas.openxmlformats.org/officeDocument/2006/relationships/hyperlink" Target="https://drive.google.com/open?id=13EM7JBe4IY9EMwUrRRVTeBViX6dluhti" TargetMode="External"/><Relationship Id="rId5" Type="http://schemas.openxmlformats.org/officeDocument/2006/relationships/hyperlink" Target="https://drive.google.com/open?id=1BiPDviV3wJLeGxxsBK8VGoZyN-SCOHni" TargetMode="External"/><Relationship Id="rId147" Type="http://schemas.openxmlformats.org/officeDocument/2006/relationships/hyperlink" Target="https://drive.google.com/open?id=16M26Q3L9xiqmaxPOQ-uuDiYvGW6qhTmk" TargetMode="External"/><Relationship Id="rId389" Type="http://schemas.openxmlformats.org/officeDocument/2006/relationships/hyperlink" Target="https://drive.google.com/open?id=1skPIUqEDrjUCotUvStJusXlmL-WdtepB" TargetMode="External"/><Relationship Id="rId6" Type="http://schemas.openxmlformats.org/officeDocument/2006/relationships/hyperlink" Target="https://drive.google.com/open?id=1GCjsH3wMQ5IVrBNdmhareg7Ube6DLk7E" TargetMode="External"/><Relationship Id="rId146" Type="http://schemas.openxmlformats.org/officeDocument/2006/relationships/hyperlink" Target="https://drive.google.com/open?id=13zLWqLgZ_9UrOVuIs4sRPQqCT67UTv8D" TargetMode="External"/><Relationship Id="rId388" Type="http://schemas.openxmlformats.org/officeDocument/2006/relationships/hyperlink" Target="https://drive.google.com/open?id=11-rY-KkQjOESrDFOEk7VXALYWL0Ax9IB" TargetMode="External"/><Relationship Id="rId7" Type="http://schemas.openxmlformats.org/officeDocument/2006/relationships/hyperlink" Target="https://drive.google.com/open?id=17nv-Mal2FXMmROjS4KmmApW0jlyYGvt9" TargetMode="External"/><Relationship Id="rId145" Type="http://schemas.openxmlformats.org/officeDocument/2006/relationships/hyperlink" Target="https://drive.google.com/open?id=16QEsvk170iVj1HPH8L1DLicVjdFpz1i0" TargetMode="External"/><Relationship Id="rId387" Type="http://schemas.openxmlformats.org/officeDocument/2006/relationships/hyperlink" Target="https://drive.google.com/open?id=1OtJCxDtqtjj-MDfhCytrzOjsvCt2ykjm" TargetMode="External"/><Relationship Id="rId8" Type="http://schemas.openxmlformats.org/officeDocument/2006/relationships/hyperlink" Target="https://drive.google.com/open?id=1SAPddcEd7zK-aWgmrAzXfDi1a5xRsV7F" TargetMode="External"/><Relationship Id="rId144" Type="http://schemas.openxmlformats.org/officeDocument/2006/relationships/hyperlink" Target="https://drive.google.com/open?id=1GySrlwaIQukZNbUwAHII0YmSRTNMiWLM" TargetMode="External"/><Relationship Id="rId386" Type="http://schemas.openxmlformats.org/officeDocument/2006/relationships/hyperlink" Target="https://drive.google.com/open?id=1qnXGhpovc6pxst7PRDiSl8kKe5Zqye0s" TargetMode="External"/><Relationship Id="rId381" Type="http://schemas.openxmlformats.org/officeDocument/2006/relationships/hyperlink" Target="https://drive.google.com/open?id=1FKtdI1M7Hqw9Q-sHQeVWmiwVAU6liTnK" TargetMode="External"/><Relationship Id="rId380" Type="http://schemas.openxmlformats.org/officeDocument/2006/relationships/hyperlink" Target="https://drive.google.com/open?id=1_cdHs42gHBtgAaRsjWKMTCX5IdmE0r4i" TargetMode="External"/><Relationship Id="rId139" Type="http://schemas.openxmlformats.org/officeDocument/2006/relationships/hyperlink" Target="https://drive.google.com/open?id=1eS_rxif6YU3ePQQU6AcREYcbBs_uS3S5" TargetMode="External"/><Relationship Id="rId138" Type="http://schemas.openxmlformats.org/officeDocument/2006/relationships/hyperlink" Target="https://drive.google.com/open?id=1VhUcz4eE88tygNABKqlsIxU-JGhNg8fg" TargetMode="External"/><Relationship Id="rId137" Type="http://schemas.openxmlformats.org/officeDocument/2006/relationships/hyperlink" Target="https://drive.google.com/open?id=1w4811Oq3xJt2A7QsRIkptht8RQVbYKQR" TargetMode="External"/><Relationship Id="rId379" Type="http://schemas.openxmlformats.org/officeDocument/2006/relationships/hyperlink" Target="https://drive.google.com/open?id=1qXVuX8-ZL5hrex5lwjqPmCNWkX7QV63V" TargetMode="External"/><Relationship Id="rId132" Type="http://schemas.openxmlformats.org/officeDocument/2006/relationships/hyperlink" Target="https://drive.google.com/open?id=1riNj1Zctl-di5meN6Q-uHaQgIV6lirxq" TargetMode="External"/><Relationship Id="rId374" Type="http://schemas.openxmlformats.org/officeDocument/2006/relationships/hyperlink" Target="https://drive.google.com/open?id=1E6WRZwf_ol3GQJ-XpWhRSokADb2c79UR" TargetMode="External"/><Relationship Id="rId131" Type="http://schemas.openxmlformats.org/officeDocument/2006/relationships/hyperlink" Target="https://drive.google.com/open?id=1gpFk2KPe6DHQcH797qvoNzpKX4-KvkUH" TargetMode="External"/><Relationship Id="rId373" Type="http://schemas.openxmlformats.org/officeDocument/2006/relationships/hyperlink" Target="https://drive.google.com/open?id=1t5jfFCDWjyvZEMVfVatWd5rlzvsRVais" TargetMode="External"/><Relationship Id="rId130" Type="http://schemas.openxmlformats.org/officeDocument/2006/relationships/hyperlink" Target="https://drive.google.com/open?id=105L0h4rXA_irb5KNa_ynPXjInK-smBfg" TargetMode="External"/><Relationship Id="rId372" Type="http://schemas.openxmlformats.org/officeDocument/2006/relationships/hyperlink" Target="https://drive.google.com/open?id=1Ltjr2cj0ZMp7k1aGjMSuXZO1aj9rGLbq" TargetMode="External"/><Relationship Id="rId371" Type="http://schemas.openxmlformats.org/officeDocument/2006/relationships/hyperlink" Target="https://drive.google.com/open?id=18eKgZ6339oRmQtAb1Z7IEkLy1X_NbmhT" TargetMode="External"/><Relationship Id="rId136" Type="http://schemas.openxmlformats.org/officeDocument/2006/relationships/hyperlink" Target="https://drive.google.com/open?id=15VTF_Yy1VnZVKX6m_7TF9FlEAKy7fJRm" TargetMode="External"/><Relationship Id="rId378" Type="http://schemas.openxmlformats.org/officeDocument/2006/relationships/hyperlink" Target="https://drive.google.com/open?id=1UaaFRPG9eMf_VOqBmkbwzrTgU-6YgbV7" TargetMode="External"/><Relationship Id="rId135" Type="http://schemas.openxmlformats.org/officeDocument/2006/relationships/hyperlink" Target="https://drive.google.com/open?id=1juMjQJ8sQyPr6ch7eqX1zmRLzDX9jA55" TargetMode="External"/><Relationship Id="rId377" Type="http://schemas.openxmlformats.org/officeDocument/2006/relationships/hyperlink" Target="https://drive.google.com/open?id=1i6F1ce-oJDbK8xvAx1aUiIvuIfHp_VgS" TargetMode="External"/><Relationship Id="rId134" Type="http://schemas.openxmlformats.org/officeDocument/2006/relationships/hyperlink" Target="https://drive.google.com/open?id=1oojAsqXQ3F0cRHP_Oec1fY7eYop6445K" TargetMode="External"/><Relationship Id="rId376" Type="http://schemas.openxmlformats.org/officeDocument/2006/relationships/hyperlink" Target="https://drive.google.com/open?id=1VQvm-1RKJ2uj1_5Ci7rPqYc1D5JQxGQn" TargetMode="External"/><Relationship Id="rId133" Type="http://schemas.openxmlformats.org/officeDocument/2006/relationships/hyperlink" Target="https://drive.google.com/open?id=1UATKLxnimg_HT2c8ZQK3akiFcoSeggs0" TargetMode="External"/><Relationship Id="rId375" Type="http://schemas.openxmlformats.org/officeDocument/2006/relationships/hyperlink" Target="https://drive.google.com/open?id=1ngm4-dDhI6kgiT3ACbn5iMgey5AjHvBF" TargetMode="External"/><Relationship Id="rId172" Type="http://schemas.openxmlformats.org/officeDocument/2006/relationships/hyperlink" Target="https://drive.google.com/open?id=1TLU1PgaEm3q5Hk0BkFtdDdkkdqdCGgIP" TargetMode="External"/><Relationship Id="rId171" Type="http://schemas.openxmlformats.org/officeDocument/2006/relationships/hyperlink" Target="https://drive.google.com/open?id=1P67thn4IvK6i91yE0_-yzfQ-JVmIczHs" TargetMode="External"/><Relationship Id="rId170" Type="http://schemas.openxmlformats.org/officeDocument/2006/relationships/hyperlink" Target="https://drive.google.com/open?id=15VA9drf_1DQ9vWe4nCpsmXq5yMJHl1VG" TargetMode="External"/><Relationship Id="rId165" Type="http://schemas.openxmlformats.org/officeDocument/2006/relationships/hyperlink" Target="https://drive.google.com/open?id=1zHTXed3EoeuODc5_kNGaAgk6BUWRyI6f" TargetMode="External"/><Relationship Id="rId164" Type="http://schemas.openxmlformats.org/officeDocument/2006/relationships/hyperlink" Target="https://drive.google.com/open?id=1izCvv5TEPgws9Z5qfiCeBzSD7dDm8yPq" TargetMode="External"/><Relationship Id="rId163" Type="http://schemas.openxmlformats.org/officeDocument/2006/relationships/hyperlink" Target="https://drive.google.com/open?id=18huTGTHZuSgiaD21gBhwMcdFgKZaj0GF" TargetMode="External"/><Relationship Id="rId162" Type="http://schemas.openxmlformats.org/officeDocument/2006/relationships/hyperlink" Target="https://drive.google.com/open?id=1SUEwqQkx8Yd-cR5aMVEvU7vjgA5HiPNx" TargetMode="External"/><Relationship Id="rId169" Type="http://schemas.openxmlformats.org/officeDocument/2006/relationships/hyperlink" Target="https://drive.google.com/open?id=15fLfiO9pgux2R6WYK2XqQQ-mvZZ5Lyl6" TargetMode="External"/><Relationship Id="rId168" Type="http://schemas.openxmlformats.org/officeDocument/2006/relationships/hyperlink" Target="https://drive.google.com/open?id=1HVdS6ubjLwkihmnPJeIvVpnut1ALLNL_" TargetMode="External"/><Relationship Id="rId167" Type="http://schemas.openxmlformats.org/officeDocument/2006/relationships/hyperlink" Target="https://drive.google.com/open?id=1LL5zkXyfSfORfxMjvSdDjX05h3m6tuOl" TargetMode="External"/><Relationship Id="rId166" Type="http://schemas.openxmlformats.org/officeDocument/2006/relationships/hyperlink" Target="https://drive.google.com/open?id=1dInuG4XDyQNiOpMnYW2bwrgY8cz0T0LG" TargetMode="External"/><Relationship Id="rId161" Type="http://schemas.openxmlformats.org/officeDocument/2006/relationships/hyperlink" Target="https://drive.google.com/open?id=1n6r4_XsqluijoUhO8JY2zUC12Y5LeSWU" TargetMode="External"/><Relationship Id="rId160" Type="http://schemas.openxmlformats.org/officeDocument/2006/relationships/hyperlink" Target="https://drive.google.com/open?id=1s--H-awWrbmxy--3kwTV7hHXOgZyT81w" TargetMode="External"/><Relationship Id="rId159" Type="http://schemas.openxmlformats.org/officeDocument/2006/relationships/hyperlink" Target="https://drive.google.com/open?id=1nOhAGG85lmJW9poCyBaoYE4EcXlR6ktf" TargetMode="External"/><Relationship Id="rId154" Type="http://schemas.openxmlformats.org/officeDocument/2006/relationships/hyperlink" Target="https://drive.google.com/open?id=1qDFVwuxyAEVzW9r0kR9XLCFZChSoVpGJ" TargetMode="External"/><Relationship Id="rId396" Type="http://schemas.openxmlformats.org/officeDocument/2006/relationships/hyperlink" Target="https://drive.google.com/open?id=14vOHuKpj0CBF-6s7wJFa3onzgqDoVqTC" TargetMode="External"/><Relationship Id="rId153" Type="http://schemas.openxmlformats.org/officeDocument/2006/relationships/hyperlink" Target="https://drive.google.com/open?id=1ac7GYDvGHFcFGq2QVHAyO4L2Gp8Bqqvv" TargetMode="External"/><Relationship Id="rId395" Type="http://schemas.openxmlformats.org/officeDocument/2006/relationships/hyperlink" Target="https://drive.google.com/open?id=1dpqaAe7Yo7iVncrU95vughDxs8EhXpzN" TargetMode="External"/><Relationship Id="rId152" Type="http://schemas.openxmlformats.org/officeDocument/2006/relationships/hyperlink" Target="https://drive.google.com/open?id=1pA-H-zf3lns45ktXTmEAlE6QC9At-SEl" TargetMode="External"/><Relationship Id="rId394" Type="http://schemas.openxmlformats.org/officeDocument/2006/relationships/hyperlink" Target="https://drive.google.com/open?id=1Dwz57UceWbiAD4OuPWM8e5BoqMfBb7IZ" TargetMode="External"/><Relationship Id="rId151" Type="http://schemas.openxmlformats.org/officeDocument/2006/relationships/hyperlink" Target="https://drive.google.com/open?id=1xsea52Y040EzlmMQ9iq2mJx_NR1ZVI7-" TargetMode="External"/><Relationship Id="rId393" Type="http://schemas.openxmlformats.org/officeDocument/2006/relationships/hyperlink" Target="https://drive.google.com/open?id=1WJcQYa5j3JQj2rYVaF5aS_LHHHZJ1NI-" TargetMode="External"/><Relationship Id="rId158" Type="http://schemas.openxmlformats.org/officeDocument/2006/relationships/hyperlink" Target="https://drive.google.com/open?id=11bCSaBs7TiTjM2vrwebqo538SdmAAc_0" TargetMode="External"/><Relationship Id="rId157" Type="http://schemas.openxmlformats.org/officeDocument/2006/relationships/hyperlink" Target="https://drive.google.com/open?id=1oWEFgiiCdoDe6Jac1F46A4LFUt4WYvbw" TargetMode="External"/><Relationship Id="rId399" Type="http://schemas.openxmlformats.org/officeDocument/2006/relationships/hyperlink" Target="https://drive.google.com/open?id=1r0ZH50bi-dwzzdIfcz2ZehIHyuEZVRfQ" TargetMode="External"/><Relationship Id="rId156" Type="http://schemas.openxmlformats.org/officeDocument/2006/relationships/hyperlink" Target="https://drive.google.com/open?id=1_QizD4BQUixId8rbNCuASOp5iVLCL2mR" TargetMode="External"/><Relationship Id="rId398" Type="http://schemas.openxmlformats.org/officeDocument/2006/relationships/hyperlink" Target="https://drive.google.com/open?id=1YIaCaMKv4x2ZeUileeuU4OGfSQtaDT6_" TargetMode="External"/><Relationship Id="rId155" Type="http://schemas.openxmlformats.org/officeDocument/2006/relationships/hyperlink" Target="https://drive.google.com/open?id=1mpgGCf7maqAhjcKAIbrGpO88eINshhwu" TargetMode="External"/><Relationship Id="rId397" Type="http://schemas.openxmlformats.org/officeDocument/2006/relationships/hyperlink" Target="https://drive.google.com/open?id=1s5fJJIG8YUF1cxf28rBOIUte2LfdNaNP" TargetMode="External"/><Relationship Id="rId808" Type="http://schemas.openxmlformats.org/officeDocument/2006/relationships/hyperlink" Target="https://drive.google.com/open?id=1Hc0lrO3yXlk1ZYLEj968fD48dFQMDLrS" TargetMode="External"/><Relationship Id="rId807" Type="http://schemas.openxmlformats.org/officeDocument/2006/relationships/hyperlink" Target="https://drive.google.com/open?id=1USjFQKLsUQ3aL2IWDEUN6bw3GYOvyQNh" TargetMode="External"/><Relationship Id="rId806" Type="http://schemas.openxmlformats.org/officeDocument/2006/relationships/hyperlink" Target="https://drive.google.com/open?id=1ECg9NkfakJsaFlABNYUdfbjp1pJ_Nsi_" TargetMode="External"/><Relationship Id="rId805" Type="http://schemas.openxmlformats.org/officeDocument/2006/relationships/hyperlink" Target="https://drive.google.com/open?id=1tb0yzhLL_VU8QFJgV6U_bxtU8PGhyBBm" TargetMode="External"/><Relationship Id="rId809" Type="http://schemas.openxmlformats.org/officeDocument/2006/relationships/hyperlink" Target="https://drive.google.com/open?id=1OBCf7TS5fEkDiMoLhwNObWmIHKggMNvs" TargetMode="External"/><Relationship Id="rId800" Type="http://schemas.openxmlformats.org/officeDocument/2006/relationships/hyperlink" Target="https://drive.google.com/open?id=1IPU7Y9T8z1mwtK74HEBnBJWKWnHdzNBV" TargetMode="External"/><Relationship Id="rId804" Type="http://schemas.openxmlformats.org/officeDocument/2006/relationships/hyperlink" Target="https://drive.google.com/open?id=1rL2gtTpKa7L_wkz8MzdNchLtn1-2iB-7" TargetMode="External"/><Relationship Id="rId803" Type="http://schemas.openxmlformats.org/officeDocument/2006/relationships/hyperlink" Target="https://drive.google.com/open?id=1tnF0jHjFzjrgCAXPV806j5EhGIZpuOCw" TargetMode="External"/><Relationship Id="rId802" Type="http://schemas.openxmlformats.org/officeDocument/2006/relationships/hyperlink" Target="https://drive.google.com/open?id=1sBM65DUcZCBf-KqNhD7Sk2dXYJz4To_M" TargetMode="External"/><Relationship Id="rId801" Type="http://schemas.openxmlformats.org/officeDocument/2006/relationships/hyperlink" Target="https://drive.google.com/open?id=1GZrgbyK-WHj4O8f0yOWJEdJDhtj_Lq5Z" TargetMode="External"/><Relationship Id="rId40" Type="http://schemas.openxmlformats.org/officeDocument/2006/relationships/hyperlink" Target="https://drive.google.com/open?id=1pYVtD98y0FfuZYExUt-fGouS7qCp65ey" TargetMode="External"/><Relationship Id="rId42" Type="http://schemas.openxmlformats.org/officeDocument/2006/relationships/hyperlink" Target="https://drive.google.com/open?id=1SUybayKcliT53XzAK1hbyotfWkNY-GbT" TargetMode="External"/><Relationship Id="rId41" Type="http://schemas.openxmlformats.org/officeDocument/2006/relationships/hyperlink" Target="https://drive.google.com/open?id=1A_ISd81y3ol8qKH1wNPU_3HHhwsSdsyT" TargetMode="External"/><Relationship Id="rId44" Type="http://schemas.openxmlformats.org/officeDocument/2006/relationships/hyperlink" Target="https://drive.google.com/open?id=1rhE-qyR-kSxUUGyujPyZBKZpzMRGXrVw" TargetMode="External"/><Relationship Id="rId43" Type="http://schemas.openxmlformats.org/officeDocument/2006/relationships/hyperlink" Target="https://drive.google.com/open?id=1eZHznyotEgSJOH9SZyFLbMsKjuRQiayy" TargetMode="External"/><Relationship Id="rId46" Type="http://schemas.openxmlformats.org/officeDocument/2006/relationships/hyperlink" Target="https://drive.google.com/open?id=1n5OJYeX-iTKnrLf5AUqPvTtRq_CVJi6e" TargetMode="External"/><Relationship Id="rId45" Type="http://schemas.openxmlformats.org/officeDocument/2006/relationships/hyperlink" Target="https://drive.google.com/open?id=1hlhyU-2PweCDPu4ou2w0ZBwHZnR_rrCv" TargetMode="External"/><Relationship Id="rId509" Type="http://schemas.openxmlformats.org/officeDocument/2006/relationships/hyperlink" Target="https://drive.google.com/open?id=1OZj7eGToWFPwrDHfILZIiDtAqGA2obpb" TargetMode="External"/><Relationship Id="rId508" Type="http://schemas.openxmlformats.org/officeDocument/2006/relationships/hyperlink" Target="https://drive.google.com/open?id=1QYaEfWAIPFEDq6wsCbbfIXMYZv1Lo3eX" TargetMode="External"/><Relationship Id="rId503" Type="http://schemas.openxmlformats.org/officeDocument/2006/relationships/hyperlink" Target="https://drive.google.com/open?id=1Uuo7G4ne0BRJK_1jMwyym5-gHQ-5U5v4" TargetMode="External"/><Relationship Id="rId745" Type="http://schemas.openxmlformats.org/officeDocument/2006/relationships/hyperlink" Target="https://drive.google.com/open?id=1zE2fbNdLLEYpZJf98oglOjGPeS3uiA6z" TargetMode="External"/><Relationship Id="rId987" Type="http://schemas.openxmlformats.org/officeDocument/2006/relationships/hyperlink" Target="https://drive.google.com/open?id=1UTOAmbUWp-OKHyc2ZVRuVG7Ai2uiYPGI" TargetMode="External"/><Relationship Id="rId502" Type="http://schemas.openxmlformats.org/officeDocument/2006/relationships/hyperlink" Target="https://drive.google.com/open?id=1MsYh1GpGPjBYftrMaS2gr0VWzoJ7kXlA" TargetMode="External"/><Relationship Id="rId744" Type="http://schemas.openxmlformats.org/officeDocument/2006/relationships/hyperlink" Target="https://drive.google.com/open?id=1Tlxv6IhM2f_2_YnhRQ03-xKlfzcAr2x6" TargetMode="External"/><Relationship Id="rId986" Type="http://schemas.openxmlformats.org/officeDocument/2006/relationships/hyperlink" Target="https://drive.google.com/open?id=1J0DX5QMpsRJM3TaWIE7Y0kfEOPxFf2Vg" TargetMode="External"/><Relationship Id="rId501" Type="http://schemas.openxmlformats.org/officeDocument/2006/relationships/hyperlink" Target="https://drive.google.com/open?id=1A_tinj30e8ndFenU0MHjpQXBjBbN1Fr3" TargetMode="External"/><Relationship Id="rId743" Type="http://schemas.openxmlformats.org/officeDocument/2006/relationships/hyperlink" Target="https://drive.google.com/open?id=1erWqCPbaPMDNgfkuTki4r50UM_MVpFyK" TargetMode="External"/><Relationship Id="rId985" Type="http://schemas.openxmlformats.org/officeDocument/2006/relationships/hyperlink" Target="https://drive.google.com/open?id=18CGRE7M9effYwzwUdniO26-X67_DAiad" TargetMode="External"/><Relationship Id="rId500" Type="http://schemas.openxmlformats.org/officeDocument/2006/relationships/hyperlink" Target="https://drive.google.com/open?id=1fDabZoNnD12-e-We9mGlzWznINNDmPWN" TargetMode="External"/><Relationship Id="rId742" Type="http://schemas.openxmlformats.org/officeDocument/2006/relationships/hyperlink" Target="https://drive.google.com/open?id=17l11duS2_1GFKI8ar9tSXO7KaHMyH7TU" TargetMode="External"/><Relationship Id="rId984" Type="http://schemas.openxmlformats.org/officeDocument/2006/relationships/hyperlink" Target="https://drive.google.com/open?id=1Q8pC_0ouTeM6oD9PVPGiT43ZJHwFA3hd" TargetMode="External"/><Relationship Id="rId507" Type="http://schemas.openxmlformats.org/officeDocument/2006/relationships/hyperlink" Target="https://drive.google.com/open?id=1hV3QLDlzAPlFzPdTTNTGpVHmK2C_3Hv3" TargetMode="External"/><Relationship Id="rId749" Type="http://schemas.openxmlformats.org/officeDocument/2006/relationships/hyperlink" Target="https://drive.google.com/open?id=18C7fGlaHdHtv9WP4d5LazH_jHjIVwCF3" TargetMode="External"/><Relationship Id="rId506" Type="http://schemas.openxmlformats.org/officeDocument/2006/relationships/hyperlink" Target="https://drive.google.com/open?id=1ReBePseDdoeaRlqRTkwkdYvdK417vYmx" TargetMode="External"/><Relationship Id="rId748" Type="http://schemas.openxmlformats.org/officeDocument/2006/relationships/hyperlink" Target="https://drive.google.com/open?id=1YCQ8x2wyTYisPuGQ1fAUAxccZHOSXo0x" TargetMode="External"/><Relationship Id="rId505" Type="http://schemas.openxmlformats.org/officeDocument/2006/relationships/hyperlink" Target="https://drive.google.com/open?id=1ysHXdpAWfv-zJFd1QpZeHNqouy9GOIp6" TargetMode="External"/><Relationship Id="rId747" Type="http://schemas.openxmlformats.org/officeDocument/2006/relationships/hyperlink" Target="https://drive.google.com/open?id=1yNgGa5V845VYpgI825Xri-POl343Uaoo" TargetMode="External"/><Relationship Id="rId989" Type="http://schemas.openxmlformats.org/officeDocument/2006/relationships/hyperlink" Target="https://drive.google.com/open?id=12-PIZchIFhcxexLsfMuqP-At5T9XBIQE" TargetMode="External"/><Relationship Id="rId504" Type="http://schemas.openxmlformats.org/officeDocument/2006/relationships/hyperlink" Target="https://drive.google.com/open?id=1luqBB3V2bwQUHftaDmx8a3Fa1amGw4yl" TargetMode="External"/><Relationship Id="rId746" Type="http://schemas.openxmlformats.org/officeDocument/2006/relationships/hyperlink" Target="https://drive.google.com/open?id=1gbNAH_9QOpmNfXqDgVcDT07fBMjW745u" TargetMode="External"/><Relationship Id="rId988" Type="http://schemas.openxmlformats.org/officeDocument/2006/relationships/hyperlink" Target="https://drive.google.com/open?id=1BWl4SQjuXpuSfmIec7nh55IR_W7MMVcV" TargetMode="External"/><Relationship Id="rId48" Type="http://schemas.openxmlformats.org/officeDocument/2006/relationships/hyperlink" Target="https://drive.google.com/open?id=1M6tUI-OAOHJ1jB18rnmUIuKLZzgTy-aL" TargetMode="External"/><Relationship Id="rId47" Type="http://schemas.openxmlformats.org/officeDocument/2006/relationships/hyperlink" Target="https://drive.google.com/open?id=1bGYYfwM0LTSquUhZrIVueInbQC9ZnL0e" TargetMode="External"/><Relationship Id="rId49" Type="http://schemas.openxmlformats.org/officeDocument/2006/relationships/hyperlink" Target="https://drive.google.com/open?id=1ysizt4gpoZHPMRxCdvLDkvpLZTDkeW4T" TargetMode="External"/><Relationship Id="rId741" Type="http://schemas.openxmlformats.org/officeDocument/2006/relationships/hyperlink" Target="https://drive.google.com/open?id=1I-kzpR5tuTOpp8CpLu7llPP5Ax8eg2V0" TargetMode="External"/><Relationship Id="rId983" Type="http://schemas.openxmlformats.org/officeDocument/2006/relationships/hyperlink" Target="https://drive.google.com/open?id=14kkZ4yMRJwHjPczyspqjwueuY5SccNi3" TargetMode="External"/><Relationship Id="rId740" Type="http://schemas.openxmlformats.org/officeDocument/2006/relationships/hyperlink" Target="https://drive.google.com/open?id=1vDckrPuN9r21exkFtVSc0UJIliEEZM8p" TargetMode="External"/><Relationship Id="rId982" Type="http://schemas.openxmlformats.org/officeDocument/2006/relationships/hyperlink" Target="https://drive.google.com/open?id=11V-NEnxYzQ8TCcDdI5Y0MAeFO2v2uJkv" TargetMode="External"/><Relationship Id="rId981" Type="http://schemas.openxmlformats.org/officeDocument/2006/relationships/hyperlink" Target="https://drive.google.com/open?id=1T9THd1TZ2JH8ee2VmZiYJgF_0UzQFf7R" TargetMode="External"/><Relationship Id="rId980" Type="http://schemas.openxmlformats.org/officeDocument/2006/relationships/hyperlink" Target="https://drive.google.com/open?id=1K16W4nR7eqfm5wsUVxm3GsSpLgLXAgFe" TargetMode="External"/><Relationship Id="rId31" Type="http://schemas.openxmlformats.org/officeDocument/2006/relationships/hyperlink" Target="https://drive.google.com/open?id=1xPu8iOP-BpHkrxCExw5dtuPJO0PD6oAv" TargetMode="External"/><Relationship Id="rId30" Type="http://schemas.openxmlformats.org/officeDocument/2006/relationships/hyperlink" Target="https://drive.google.com/open?id=10pN00i0BnNu1sDTJamptI4k1Hu1FxkKr" TargetMode="External"/><Relationship Id="rId33" Type="http://schemas.openxmlformats.org/officeDocument/2006/relationships/hyperlink" Target="https://drive.google.com/open?id=1LB9Rdy6OptWNXyKsjA5kd0aFrp3hj7cd" TargetMode="External"/><Relationship Id="rId32" Type="http://schemas.openxmlformats.org/officeDocument/2006/relationships/hyperlink" Target="https://drive.google.com/open?id=1ykB032lDbHhTCLXlMg5E9uPA-M3ARswW" TargetMode="External"/><Relationship Id="rId35" Type="http://schemas.openxmlformats.org/officeDocument/2006/relationships/hyperlink" Target="https://drive.google.com/open?id=1zw5OHYJDTrhqyD_6UYNGioXwvUrIKDuh" TargetMode="External"/><Relationship Id="rId34" Type="http://schemas.openxmlformats.org/officeDocument/2006/relationships/hyperlink" Target="https://drive.google.com/open?id=1N1mjGiqJoa5M40PTcaNahuHBqo5MjVHo" TargetMode="External"/><Relationship Id="rId739" Type="http://schemas.openxmlformats.org/officeDocument/2006/relationships/hyperlink" Target="https://drive.google.com/open?id=1qwmBODCw00Inbu-6sBsEwBeTDOG19v3G" TargetMode="External"/><Relationship Id="rId734" Type="http://schemas.openxmlformats.org/officeDocument/2006/relationships/hyperlink" Target="https://drive.google.com/open?id=1ntDLBqXjFeAlCCLL5dN_-ionIeEEkcsR" TargetMode="External"/><Relationship Id="rId976" Type="http://schemas.openxmlformats.org/officeDocument/2006/relationships/hyperlink" Target="https://drive.google.com/open?id=1RNZ8vRzkDPUHbnybUDFDV--yr5zSfN9q" TargetMode="External"/><Relationship Id="rId733" Type="http://schemas.openxmlformats.org/officeDocument/2006/relationships/hyperlink" Target="https://drive.google.com/open?id=1nxtz4V07w9e6qHjSmAe4i4y60KDHS6uU" TargetMode="External"/><Relationship Id="rId975" Type="http://schemas.openxmlformats.org/officeDocument/2006/relationships/hyperlink" Target="https://drive.google.com/open?id=1FP_9_0pGFZNFl7pYwj8WBvP6kK-8328G" TargetMode="External"/><Relationship Id="rId732" Type="http://schemas.openxmlformats.org/officeDocument/2006/relationships/hyperlink" Target="https://drive.google.com/open?id=1cIhWM1DcCfaj6khIwfrZACqllLEz0GZ9" TargetMode="External"/><Relationship Id="rId974" Type="http://schemas.openxmlformats.org/officeDocument/2006/relationships/hyperlink" Target="https://drive.google.com/open?id=1fjLBHKQjZ29OGxsM5ocqWfa9O9olvKZh" TargetMode="External"/><Relationship Id="rId731" Type="http://schemas.openxmlformats.org/officeDocument/2006/relationships/hyperlink" Target="https://drive.google.com/open?id=1caPElJBZPzTJky_hwMn5XYjVOSmThIt1" TargetMode="External"/><Relationship Id="rId973" Type="http://schemas.openxmlformats.org/officeDocument/2006/relationships/hyperlink" Target="https://drive.google.com/open?id=1ei3yzO-iKcSi3-WUv2Faw-QcAixTiACG" TargetMode="External"/><Relationship Id="rId738" Type="http://schemas.openxmlformats.org/officeDocument/2006/relationships/hyperlink" Target="https://drive.google.com/open?id=1NnZo6qQwaxYAxy2bGCHeSONka-KDhe6u" TargetMode="External"/><Relationship Id="rId737" Type="http://schemas.openxmlformats.org/officeDocument/2006/relationships/hyperlink" Target="https://drive.google.com/open?id=1rSPR_hYf3NAOVIIM8lHv3ZMIIMcLNbmn" TargetMode="External"/><Relationship Id="rId979" Type="http://schemas.openxmlformats.org/officeDocument/2006/relationships/hyperlink" Target="https://drive.google.com/open?id=1X0d446yJNzx-sbPTOImNEvLost9wiGeE" TargetMode="External"/><Relationship Id="rId736" Type="http://schemas.openxmlformats.org/officeDocument/2006/relationships/hyperlink" Target="https://drive.google.com/open?id=16YTNynfIQoODZtbaNLZbXS-KFxZRSag-" TargetMode="External"/><Relationship Id="rId978" Type="http://schemas.openxmlformats.org/officeDocument/2006/relationships/hyperlink" Target="https://drive.google.com/open?id=1IqP5DXzNLKQs7UjbwOpyTNZoOvZO0uPZ" TargetMode="External"/><Relationship Id="rId735" Type="http://schemas.openxmlformats.org/officeDocument/2006/relationships/hyperlink" Target="https://drive.google.com/open?id=1FBd8EZszNW4Qfyw1g2IRJRp1n0F0WuPo" TargetMode="External"/><Relationship Id="rId977" Type="http://schemas.openxmlformats.org/officeDocument/2006/relationships/hyperlink" Target="https://drive.google.com/open?id=1K66kfZjCfaVtkHbC7MiuA6CBF3s4etKf" TargetMode="External"/><Relationship Id="rId37" Type="http://schemas.openxmlformats.org/officeDocument/2006/relationships/hyperlink" Target="https://drive.google.com/open?id=1X2QFkYq4lEYztDdryKSq2rDVQebBr3ip" TargetMode="External"/><Relationship Id="rId36" Type="http://schemas.openxmlformats.org/officeDocument/2006/relationships/hyperlink" Target="https://drive.google.com/open?id=1KVzQZvcmzE6_Y0zJ1qEfmmgga75Ex4h4" TargetMode="External"/><Relationship Id="rId39" Type="http://schemas.openxmlformats.org/officeDocument/2006/relationships/hyperlink" Target="https://drive.google.com/open?id=1ZPvTGoqzq6glV7PS3TClxzkt89kuuly_" TargetMode="External"/><Relationship Id="rId38" Type="http://schemas.openxmlformats.org/officeDocument/2006/relationships/hyperlink" Target="https://drive.google.com/open?id=1YmRgpPTLaDnrPpHFp9Q0epP16Xu1DhCt" TargetMode="External"/><Relationship Id="rId730" Type="http://schemas.openxmlformats.org/officeDocument/2006/relationships/hyperlink" Target="https://drive.google.com/open?id=1pJeOx3Z49KLtqUpvdznMHx_dNGYkKu3U" TargetMode="External"/><Relationship Id="rId972" Type="http://schemas.openxmlformats.org/officeDocument/2006/relationships/hyperlink" Target="https://drive.google.com/open?id=1IJw2MNC0yd_fCw_a-eWs3-BamNJaWQFb" TargetMode="External"/><Relationship Id="rId971" Type="http://schemas.openxmlformats.org/officeDocument/2006/relationships/hyperlink" Target="https://drive.google.com/open?id=14dReWY1TcSGWgCi6pIWqjGdPNuPwfvhu" TargetMode="External"/><Relationship Id="rId970" Type="http://schemas.openxmlformats.org/officeDocument/2006/relationships/hyperlink" Target="https://drive.google.com/open?id=12Mw8CV7DXQHtju2l3UBS1hkgo5a0bTX4" TargetMode="External"/><Relationship Id="rId20" Type="http://schemas.openxmlformats.org/officeDocument/2006/relationships/hyperlink" Target="https://drive.google.com/open?id=13cy0xRp64JmdvwfLGgO8Oj7xeIyJWtB0" TargetMode="External"/><Relationship Id="rId22" Type="http://schemas.openxmlformats.org/officeDocument/2006/relationships/hyperlink" Target="https://drive.google.com/open?id=1or7IYSj0B3ulsGpxAkGgwrGbnenkA8-y" TargetMode="External"/><Relationship Id="rId21" Type="http://schemas.openxmlformats.org/officeDocument/2006/relationships/hyperlink" Target="https://drive.google.com/open?id=1xpStfLjdW6Sj8YMKwKu7c9KRPhJJwJgH" TargetMode="External"/><Relationship Id="rId24" Type="http://schemas.openxmlformats.org/officeDocument/2006/relationships/hyperlink" Target="https://drive.google.com/open?id=125g4SbTrHWWVdb-1L8_speZ_35ibZOPI" TargetMode="External"/><Relationship Id="rId23" Type="http://schemas.openxmlformats.org/officeDocument/2006/relationships/hyperlink" Target="https://drive.google.com/open?id=119bO7KmX11OfE_CM6ZSot43GVKrETYkT" TargetMode="External"/><Relationship Id="rId525" Type="http://schemas.openxmlformats.org/officeDocument/2006/relationships/hyperlink" Target="https://drive.google.com/open?id=1EUx2FD36nDKRJ5bK08RKOMLfL3a04FzC" TargetMode="External"/><Relationship Id="rId767" Type="http://schemas.openxmlformats.org/officeDocument/2006/relationships/hyperlink" Target="https://drive.google.com/open?id=1du2_Fr-Jq5L5i05htQmMkMvKvmfYzv0l" TargetMode="External"/><Relationship Id="rId524" Type="http://schemas.openxmlformats.org/officeDocument/2006/relationships/hyperlink" Target="https://drive.google.com/open?id=18-hHB-ME1oBdQhuY5gFQLuB2f5AAF31z" TargetMode="External"/><Relationship Id="rId766" Type="http://schemas.openxmlformats.org/officeDocument/2006/relationships/hyperlink" Target="https://drive.google.com/open?id=1lzmxXj3jYfwuY4v5f-rPXNYT5i9fbuN8" TargetMode="External"/><Relationship Id="rId523" Type="http://schemas.openxmlformats.org/officeDocument/2006/relationships/hyperlink" Target="https://drive.google.com/open?id=18-wIPdx98FWZEvMuqbIJwyeBxEtqKDTc" TargetMode="External"/><Relationship Id="rId765" Type="http://schemas.openxmlformats.org/officeDocument/2006/relationships/hyperlink" Target="https://drive.google.com/open?id=1dXL9hDmkJDi9-M-CQDDgeXq9QSVmFqEa" TargetMode="External"/><Relationship Id="rId522" Type="http://schemas.openxmlformats.org/officeDocument/2006/relationships/hyperlink" Target="https://drive.google.com/open?id=1vSAL9G1Zg4PvbgIXzNo17y7VBRr_5YER" TargetMode="External"/><Relationship Id="rId764" Type="http://schemas.openxmlformats.org/officeDocument/2006/relationships/hyperlink" Target="https://drive.google.com/open?id=1U2Pr4UCRySlEu3f0KiwDzV42fy8xeoNa" TargetMode="External"/><Relationship Id="rId529" Type="http://schemas.openxmlformats.org/officeDocument/2006/relationships/hyperlink" Target="https://drive.google.com/open?id=1NuFR2XveVNkb1mLP2ufX77oar_-2I97h" TargetMode="External"/><Relationship Id="rId528" Type="http://schemas.openxmlformats.org/officeDocument/2006/relationships/hyperlink" Target="https://drive.google.com/open?id=1r5RLqKfCoI3GlRI0kARaVumwV_Zvh3eD" TargetMode="External"/><Relationship Id="rId527" Type="http://schemas.openxmlformats.org/officeDocument/2006/relationships/hyperlink" Target="https://drive.google.com/open?id=1GXhzSJVw-ngtYf25I4I3gZTM4o2aLBTq" TargetMode="External"/><Relationship Id="rId769" Type="http://schemas.openxmlformats.org/officeDocument/2006/relationships/hyperlink" Target="https://drive.google.com/open?id=1q-pCWfPn9d_gDANzDGvM6KgszNmUU4_r" TargetMode="External"/><Relationship Id="rId526" Type="http://schemas.openxmlformats.org/officeDocument/2006/relationships/hyperlink" Target="https://drive.google.com/open?id=167M7V8kqAeDTG8pz9f384YCd1PSOxEXq" TargetMode="External"/><Relationship Id="rId768" Type="http://schemas.openxmlformats.org/officeDocument/2006/relationships/hyperlink" Target="https://drive.google.com/open?id=1-zkr0bvgJt_vGIGbV3McaoG9wffc2zIQ" TargetMode="External"/><Relationship Id="rId26" Type="http://schemas.openxmlformats.org/officeDocument/2006/relationships/hyperlink" Target="https://drive.google.com/open?id=1L3BEQNBli8n701piBOcKo_HTK-7UfJr3" TargetMode="External"/><Relationship Id="rId25" Type="http://schemas.openxmlformats.org/officeDocument/2006/relationships/hyperlink" Target="https://drive.google.com/open?id=10U7beW-k2ggdeecUMW9gjK4blW7upN1G" TargetMode="External"/><Relationship Id="rId28" Type="http://schemas.openxmlformats.org/officeDocument/2006/relationships/hyperlink" Target="https://drive.google.com/open?id=1aaXkLN54AE9UAxkEJnvUarrXj0mB4sQY" TargetMode="External"/><Relationship Id="rId27" Type="http://schemas.openxmlformats.org/officeDocument/2006/relationships/hyperlink" Target="https://drive.google.com/open?id=1G_FZkNJT1emn95ShjkJZ0OojxhMy0PuB" TargetMode="External"/><Relationship Id="rId521" Type="http://schemas.openxmlformats.org/officeDocument/2006/relationships/hyperlink" Target="https://drive.google.com/open?id=1OKnsIzQZJvii2SPGtxYqgZ3e1BKzxNrk" TargetMode="External"/><Relationship Id="rId763" Type="http://schemas.openxmlformats.org/officeDocument/2006/relationships/hyperlink" Target="https://drive.google.com/open?id=157e_IAO-1NvcrEH3qENHWS1SBraMG1vc" TargetMode="External"/><Relationship Id="rId29" Type="http://schemas.openxmlformats.org/officeDocument/2006/relationships/hyperlink" Target="https://drive.google.com/open?id=1eGHXM5oEk4ajUSWJoCmHUw-nACKSdqTK" TargetMode="External"/><Relationship Id="rId520" Type="http://schemas.openxmlformats.org/officeDocument/2006/relationships/hyperlink" Target="https://drive.google.com/open?id=1f0H6rNtruTMFe6cb60N--3yEgefylBOc" TargetMode="External"/><Relationship Id="rId762" Type="http://schemas.openxmlformats.org/officeDocument/2006/relationships/hyperlink" Target="https://drive.google.com/open?id=1LbZV4yiwJ65Fpm-3h3FegOJJ9m1X5qhf" TargetMode="External"/><Relationship Id="rId761" Type="http://schemas.openxmlformats.org/officeDocument/2006/relationships/hyperlink" Target="https://drive.google.com/open?id=1Yh4-U9NIatKJ7Mv7qGd8yIAVimnOsBIy" TargetMode="External"/><Relationship Id="rId760" Type="http://schemas.openxmlformats.org/officeDocument/2006/relationships/hyperlink" Target="https://drive.google.com/open?id=1gfzKB-lycIw058TDwYLOIp8BLhcxoR4T" TargetMode="External"/><Relationship Id="rId11" Type="http://schemas.openxmlformats.org/officeDocument/2006/relationships/hyperlink" Target="https://drive.google.com/open?id=1Yq3RTc_u_aC4S-TA0eBm9OMOReB79IFt" TargetMode="External"/><Relationship Id="rId10" Type="http://schemas.openxmlformats.org/officeDocument/2006/relationships/hyperlink" Target="https://drive.google.com/open?id=1AaxpL0HcPxua8fhh-I9vsNTcxlSanRK2" TargetMode="External"/><Relationship Id="rId13" Type="http://schemas.openxmlformats.org/officeDocument/2006/relationships/hyperlink" Target="https://drive.google.com/open?id=1OcxuVOFY5A-_Cmp_hYJEUExtkfce3bN4" TargetMode="External"/><Relationship Id="rId12" Type="http://schemas.openxmlformats.org/officeDocument/2006/relationships/hyperlink" Target="https://drive.google.com/open?id=1rVr8KV3ilSjLGJNVmt_ONOezKo7Byppx" TargetMode="External"/><Relationship Id="rId519" Type="http://schemas.openxmlformats.org/officeDocument/2006/relationships/hyperlink" Target="https://drive.google.com/open?id=1suldwiPweG7CY_HnEi-pOlFJ_jdPRIX1" TargetMode="External"/><Relationship Id="rId514" Type="http://schemas.openxmlformats.org/officeDocument/2006/relationships/hyperlink" Target="https://drive.google.com/open?id=12uQYR_jZ0VbP-w_-WV14vXCVlJrURR-N" TargetMode="External"/><Relationship Id="rId756" Type="http://schemas.openxmlformats.org/officeDocument/2006/relationships/hyperlink" Target="https://drive.google.com/open?id=1qv3tE0xzM-7dMuUUwvp3oxavjLF4B92Y" TargetMode="External"/><Relationship Id="rId998" Type="http://schemas.openxmlformats.org/officeDocument/2006/relationships/hyperlink" Target="https://drive.google.com/open?id=1eBIn_Rok1uAu3bsbktINwzRaa1wQszDZ" TargetMode="External"/><Relationship Id="rId513" Type="http://schemas.openxmlformats.org/officeDocument/2006/relationships/hyperlink" Target="https://drive.google.com/open?id=17uajPf8cAjVAPAVk3OVSmz3SkCn8mJHB" TargetMode="External"/><Relationship Id="rId755" Type="http://schemas.openxmlformats.org/officeDocument/2006/relationships/hyperlink" Target="https://drive.google.com/open?id=1gizSMrs9ib4VZTzp0tsfgsC6lpR-ifty" TargetMode="External"/><Relationship Id="rId997" Type="http://schemas.openxmlformats.org/officeDocument/2006/relationships/hyperlink" Target="https://drive.google.com/open?id=1KjclwqATfI_N7CEr-wKGhBOp8BKT4mbN" TargetMode="External"/><Relationship Id="rId512" Type="http://schemas.openxmlformats.org/officeDocument/2006/relationships/hyperlink" Target="https://drive.google.com/open?id=1SnPxG8hyxMVreRUVa1o_fyXlOn9cvN2Y" TargetMode="External"/><Relationship Id="rId754" Type="http://schemas.openxmlformats.org/officeDocument/2006/relationships/hyperlink" Target="https://drive.google.com/open?id=1w4b4EQzJoKOtdHEyKLNh55UCnPYZ02bD" TargetMode="External"/><Relationship Id="rId996" Type="http://schemas.openxmlformats.org/officeDocument/2006/relationships/hyperlink" Target="https://drive.google.com/open?id=1eAbI4eXu3SDHBwfjdLZAFMPE4FJFxCX3" TargetMode="External"/><Relationship Id="rId511" Type="http://schemas.openxmlformats.org/officeDocument/2006/relationships/hyperlink" Target="https://drive.google.com/open?id=1hTk-AFJ4ymQMzUvOz-QxSMvEYBhddb6g" TargetMode="External"/><Relationship Id="rId753" Type="http://schemas.openxmlformats.org/officeDocument/2006/relationships/hyperlink" Target="https://drive.google.com/open?id=15f55wqWHwfcT-UIJW_xp4Z_ontLh57-N" TargetMode="External"/><Relationship Id="rId995" Type="http://schemas.openxmlformats.org/officeDocument/2006/relationships/hyperlink" Target="https://drive.google.com/open?id=1RSonPzXt7h3LKhAz5r55GomzmnK5DaSO" TargetMode="External"/><Relationship Id="rId518" Type="http://schemas.openxmlformats.org/officeDocument/2006/relationships/hyperlink" Target="https://drive.google.com/open?id=1EZjjVzW1-4J2U_Ox9cocSJ4jqeXsml8C" TargetMode="External"/><Relationship Id="rId517" Type="http://schemas.openxmlformats.org/officeDocument/2006/relationships/hyperlink" Target="https://drive.google.com/open?id=121DSQlYN5uIVzbSpjEW5RXrOQQwitNZv" TargetMode="External"/><Relationship Id="rId759" Type="http://schemas.openxmlformats.org/officeDocument/2006/relationships/hyperlink" Target="https://drive.google.com/open?id=1pk761CC2EHheMFs12ZA3kauGGwv2CRVu" TargetMode="External"/><Relationship Id="rId516" Type="http://schemas.openxmlformats.org/officeDocument/2006/relationships/hyperlink" Target="https://drive.google.com/open?id=1A9re_awcCbfG-TNjZF9SplgFEImqqdIP" TargetMode="External"/><Relationship Id="rId758" Type="http://schemas.openxmlformats.org/officeDocument/2006/relationships/hyperlink" Target="https://drive.google.com/open?id=1dAFYrfRy1opNEdNlDnTC7ll4MOrCO5uT" TargetMode="External"/><Relationship Id="rId515" Type="http://schemas.openxmlformats.org/officeDocument/2006/relationships/hyperlink" Target="https://drive.google.com/open?id=1ZmlyRa1v3HWEY893up_GAROcmoy9TDdW" TargetMode="External"/><Relationship Id="rId757" Type="http://schemas.openxmlformats.org/officeDocument/2006/relationships/hyperlink" Target="https://drive.google.com/open?id=1mWVsNU2g00P14PsdJb0Sszai9dwuchsP" TargetMode="External"/><Relationship Id="rId999" Type="http://schemas.openxmlformats.org/officeDocument/2006/relationships/hyperlink" Target="https://drive.google.com/open?id=1_fblCbIcOE-QteBz8Sl3b2dikljweALN" TargetMode="External"/><Relationship Id="rId15" Type="http://schemas.openxmlformats.org/officeDocument/2006/relationships/hyperlink" Target="https://drive.google.com/open?id=1HsijsEDHdE3q-6kqFFSclMXpKMGRQWSv" TargetMode="External"/><Relationship Id="rId990" Type="http://schemas.openxmlformats.org/officeDocument/2006/relationships/hyperlink" Target="https://drive.google.com/open?id=1UHG_1hr58zLrC72YTOBGjpGx9iklQdV9" TargetMode="External"/><Relationship Id="rId14" Type="http://schemas.openxmlformats.org/officeDocument/2006/relationships/hyperlink" Target="https://drive.google.com/open?id=17wGzMFv07yCZnpVyWhFGpBJqPTbLaea4" TargetMode="External"/><Relationship Id="rId17" Type="http://schemas.openxmlformats.org/officeDocument/2006/relationships/hyperlink" Target="https://drive.google.com/open?id=18-dtz5uofRnCwBt84CNbViARyTt_TsSA" TargetMode="External"/><Relationship Id="rId16" Type="http://schemas.openxmlformats.org/officeDocument/2006/relationships/hyperlink" Target="https://drive.google.com/open?id=1FQi85EhH43HHqjUuTWPoE2sfTScQ8_oc" TargetMode="External"/><Relationship Id="rId19" Type="http://schemas.openxmlformats.org/officeDocument/2006/relationships/hyperlink" Target="https://drive.google.com/open?id=1noGpXGGvA9K6X7J_WaxjQAyLcr4elfAz" TargetMode="External"/><Relationship Id="rId510" Type="http://schemas.openxmlformats.org/officeDocument/2006/relationships/hyperlink" Target="https://drive.google.com/open?id=1fkfUrNZ_ANK1vs1yxk16SGQYfWcXTinI" TargetMode="External"/><Relationship Id="rId752" Type="http://schemas.openxmlformats.org/officeDocument/2006/relationships/hyperlink" Target="https://drive.google.com/open?id=1wYiUSAUbC_c28Jb_txcfvsgl_ke0IHdM" TargetMode="External"/><Relationship Id="rId994" Type="http://schemas.openxmlformats.org/officeDocument/2006/relationships/hyperlink" Target="https://drive.google.com/open?id=19ejjN0QirASZ5tbLe7txW5Fb_ZAWfPuY" TargetMode="External"/><Relationship Id="rId18" Type="http://schemas.openxmlformats.org/officeDocument/2006/relationships/hyperlink" Target="https://drive.google.com/open?id=1nHqvQXKP-y63WphNaTjeID6FatrCZsJe" TargetMode="External"/><Relationship Id="rId751" Type="http://schemas.openxmlformats.org/officeDocument/2006/relationships/hyperlink" Target="https://drive.google.com/open?id=1exU9zkekiQLfuiHESHnYeR94LoQzjCJv" TargetMode="External"/><Relationship Id="rId993" Type="http://schemas.openxmlformats.org/officeDocument/2006/relationships/hyperlink" Target="https://drive.google.com/open?id=1nq6WwyOal-ja7i66408wRee2551SQhO1" TargetMode="External"/><Relationship Id="rId750" Type="http://schemas.openxmlformats.org/officeDocument/2006/relationships/hyperlink" Target="https://drive.google.com/open?id=1IY4wAZEoK3h6p5wtnyZfcsFtvhrJ79AY" TargetMode="External"/><Relationship Id="rId992" Type="http://schemas.openxmlformats.org/officeDocument/2006/relationships/hyperlink" Target="https://drive.google.com/open?id=1YdRka1nYs-0xZvMCGf8m3PD7rVWVpTlk" TargetMode="External"/><Relationship Id="rId991" Type="http://schemas.openxmlformats.org/officeDocument/2006/relationships/hyperlink" Target="https://drive.google.com/open?id=1igJuXXDXfqCs2ie4tTkUiK71h1stff-E" TargetMode="External"/><Relationship Id="rId84" Type="http://schemas.openxmlformats.org/officeDocument/2006/relationships/hyperlink" Target="https://drive.google.com/open?id=1AJRCjOMcgqLjUiBz-mjf8QQ6kYnykP4Y" TargetMode="External"/><Relationship Id="rId83" Type="http://schemas.openxmlformats.org/officeDocument/2006/relationships/hyperlink" Target="https://drive.google.com/open?id=1D966fqG61Y5oC4hK16b-Cc7vaqYIRsss" TargetMode="External"/><Relationship Id="rId86" Type="http://schemas.openxmlformats.org/officeDocument/2006/relationships/hyperlink" Target="https://drive.google.com/open?id=1wlhlOzaQqEjnLPeiT8KLmq9dRVuHBQw_" TargetMode="External"/><Relationship Id="rId85" Type="http://schemas.openxmlformats.org/officeDocument/2006/relationships/hyperlink" Target="https://drive.google.com/open?id=1NtIxWDrjkGUrBNMG8S_andcoe97bJspF" TargetMode="External"/><Relationship Id="rId88" Type="http://schemas.openxmlformats.org/officeDocument/2006/relationships/hyperlink" Target="https://drive.google.com/open?id=1kdGJozEoF-M_tuKrIXHqcydn5_DsCJR3" TargetMode="External"/><Relationship Id="rId87" Type="http://schemas.openxmlformats.org/officeDocument/2006/relationships/hyperlink" Target="https://drive.google.com/open?id=1P-Zp2g3UsthOFhInKgnnnH2gPIlwk7dd" TargetMode="External"/><Relationship Id="rId89" Type="http://schemas.openxmlformats.org/officeDocument/2006/relationships/hyperlink" Target="https://drive.google.com/open?id=1gCN6NSyBCoZeFYXW-9RzmnY_6L0k4VCO" TargetMode="External"/><Relationship Id="rId709" Type="http://schemas.openxmlformats.org/officeDocument/2006/relationships/hyperlink" Target="https://drive.google.com/open?id=132nke4J7QXUs7VQkc0xcn8aYZvn3e4EE" TargetMode="External"/><Relationship Id="rId708" Type="http://schemas.openxmlformats.org/officeDocument/2006/relationships/hyperlink" Target="https://drive.google.com/open?id=1fL8jbgABDtCFUuFbZhVzZlzr6B6SfkU4" TargetMode="External"/><Relationship Id="rId707" Type="http://schemas.openxmlformats.org/officeDocument/2006/relationships/hyperlink" Target="https://drive.google.com/open?id=1ms63pxr-COUptIeWsBnKil9Zekq-8Idq" TargetMode="External"/><Relationship Id="rId949" Type="http://schemas.openxmlformats.org/officeDocument/2006/relationships/hyperlink" Target="https://drive.google.com/open?id=1J3VKmZJSeRI2V0y6YzEpFZHglSHAB8D5" TargetMode="External"/><Relationship Id="rId706" Type="http://schemas.openxmlformats.org/officeDocument/2006/relationships/hyperlink" Target="https://drive.google.com/open?id=1ep2OiacnOZr-jJtcDiubiudOcD3BkBXE" TargetMode="External"/><Relationship Id="rId948" Type="http://schemas.openxmlformats.org/officeDocument/2006/relationships/hyperlink" Target="https://drive.google.com/open?id=1af_DiVtTQU2-FaBxKyWz6Oln6yT3JsJ2" TargetMode="External"/><Relationship Id="rId80" Type="http://schemas.openxmlformats.org/officeDocument/2006/relationships/hyperlink" Target="https://drive.google.com/open?id=1Rj9Ugx1I677J0S87Os75A4SsO0_cOPAc" TargetMode="External"/><Relationship Id="rId82" Type="http://schemas.openxmlformats.org/officeDocument/2006/relationships/hyperlink" Target="https://drive.google.com/open?id=1sRfMZKz6Zz3qSMEX1bsubCnQkhZM1GEi" TargetMode="External"/><Relationship Id="rId81" Type="http://schemas.openxmlformats.org/officeDocument/2006/relationships/hyperlink" Target="https://drive.google.com/open?id=1TurVYvdVyRun2ades1Jk2y_y7LxsJgZ-" TargetMode="External"/><Relationship Id="rId701" Type="http://schemas.openxmlformats.org/officeDocument/2006/relationships/hyperlink" Target="https://drive.google.com/open?id=1j4ZCTKhIjrayPZz4S6xnqb6CK3BpclT_" TargetMode="External"/><Relationship Id="rId943" Type="http://schemas.openxmlformats.org/officeDocument/2006/relationships/hyperlink" Target="https://drive.google.com/open?id=1EMZaWVl6QdiRIgwx1UJjuIdAbZMFoR-1" TargetMode="External"/><Relationship Id="rId700" Type="http://schemas.openxmlformats.org/officeDocument/2006/relationships/hyperlink" Target="https://drive.google.com/open?id=1zhL73OR9f_cIqlaQF4eE2Y6ycjQGsqfH" TargetMode="External"/><Relationship Id="rId942" Type="http://schemas.openxmlformats.org/officeDocument/2006/relationships/hyperlink" Target="https://drive.google.com/open?id=1h3awQWtLizAAWJ-i2CyEy7niOctYpgyk" TargetMode="External"/><Relationship Id="rId941" Type="http://schemas.openxmlformats.org/officeDocument/2006/relationships/hyperlink" Target="https://drive.google.com/open?id=1Auwy73ulFf5CD8T6Zv2EL5m1Nwu0OzSt" TargetMode="External"/><Relationship Id="rId940" Type="http://schemas.openxmlformats.org/officeDocument/2006/relationships/hyperlink" Target="https://drive.google.com/open?id=1bsJCdrmUpp4YWNrOJtalEI104VBomssH" TargetMode="External"/><Relationship Id="rId705" Type="http://schemas.openxmlformats.org/officeDocument/2006/relationships/hyperlink" Target="https://drive.google.com/open?id=1MTo1FfZqRMU6wHlC84X6eRDVxN1vj4-T" TargetMode="External"/><Relationship Id="rId947" Type="http://schemas.openxmlformats.org/officeDocument/2006/relationships/hyperlink" Target="https://drive.google.com/open?id=16bB3kUj4LZAyEZ0lmYZr-YkWeGK7B5gP" TargetMode="External"/><Relationship Id="rId704" Type="http://schemas.openxmlformats.org/officeDocument/2006/relationships/hyperlink" Target="https://drive.google.com/open?id=1ORRkAse1i0_3xbL69IYzNsopPld7Papm" TargetMode="External"/><Relationship Id="rId946" Type="http://schemas.openxmlformats.org/officeDocument/2006/relationships/hyperlink" Target="https://drive.google.com/open?id=1PNrbvZ8rt71VEoWdI6Fs4cVbRvzv7EBK" TargetMode="External"/><Relationship Id="rId703" Type="http://schemas.openxmlformats.org/officeDocument/2006/relationships/hyperlink" Target="https://drive.google.com/open?id=1V37Lv9P7b_4RtzbjOmpCT8aUWnG_v8T8" TargetMode="External"/><Relationship Id="rId945" Type="http://schemas.openxmlformats.org/officeDocument/2006/relationships/hyperlink" Target="https://drive.google.com/open?id=15sEoC7-3hEIzIhS5UaT8apyT-wbKUlcZ" TargetMode="External"/><Relationship Id="rId702" Type="http://schemas.openxmlformats.org/officeDocument/2006/relationships/hyperlink" Target="https://drive.google.com/open?id=17HT3q6-tZtrIsNTYYi1TMDmnXlwWcfh4" TargetMode="External"/><Relationship Id="rId944" Type="http://schemas.openxmlformats.org/officeDocument/2006/relationships/hyperlink" Target="https://drive.google.com/open?id=1CKh6yHwt4FafnYxy6OJzKJk6jlOeqw1d" TargetMode="External"/><Relationship Id="rId73" Type="http://schemas.openxmlformats.org/officeDocument/2006/relationships/hyperlink" Target="https://drive.google.com/open?id=1aJbMLiF4h1qJ1qZxm7xmQjRZnBp8lMiR" TargetMode="External"/><Relationship Id="rId72" Type="http://schemas.openxmlformats.org/officeDocument/2006/relationships/hyperlink" Target="https://drive.google.com/open?id=1lc68QADw5Bn7SV9GOKIevvpQIgk5SwBp" TargetMode="External"/><Relationship Id="rId75" Type="http://schemas.openxmlformats.org/officeDocument/2006/relationships/hyperlink" Target="https://drive.google.com/open?id=1EeZu9cWzYLDXeNYNffoLsTSHSG12QeuH" TargetMode="External"/><Relationship Id="rId74" Type="http://schemas.openxmlformats.org/officeDocument/2006/relationships/hyperlink" Target="https://drive.google.com/open?id=1d_biXDSlmIxOGkS1Ugb8dknY5nsWLo_2" TargetMode="External"/><Relationship Id="rId77" Type="http://schemas.openxmlformats.org/officeDocument/2006/relationships/hyperlink" Target="https://drive.google.com/open?id=1uYoaqhlZY-rHtLuCOeBovOszcFP1XMlR" TargetMode="External"/><Relationship Id="rId76" Type="http://schemas.openxmlformats.org/officeDocument/2006/relationships/hyperlink" Target="https://drive.google.com/open?id=1alg5yvdR008X7tY8JNHJYjJ2kcgMkt9s" TargetMode="External"/><Relationship Id="rId79" Type="http://schemas.openxmlformats.org/officeDocument/2006/relationships/hyperlink" Target="https://drive.google.com/open?id=1qLk1F_ObGKH4-kQ0gVsMoxYMSg3hQgvb" TargetMode="External"/><Relationship Id="rId78" Type="http://schemas.openxmlformats.org/officeDocument/2006/relationships/hyperlink" Target="https://drive.google.com/open?id=1TKteDP4O6-LRN-nunzYMl3MxNaoEc-yv" TargetMode="External"/><Relationship Id="rId939" Type="http://schemas.openxmlformats.org/officeDocument/2006/relationships/hyperlink" Target="https://drive.google.com/open?id=1n-2zfNI-0oHsKhNSG4EGHyiRX9zuJDtI" TargetMode="External"/><Relationship Id="rId938" Type="http://schemas.openxmlformats.org/officeDocument/2006/relationships/hyperlink" Target="https://drive.google.com/open?id=12MgmtgpztGMzXG_dnntKl7CJOYzRumtI" TargetMode="External"/><Relationship Id="rId937" Type="http://schemas.openxmlformats.org/officeDocument/2006/relationships/hyperlink" Target="https://drive.google.com/open?id=1p08kofaG683dXtaG8V61ARwarA2z-m5b" TargetMode="External"/><Relationship Id="rId71" Type="http://schemas.openxmlformats.org/officeDocument/2006/relationships/hyperlink" Target="https://drive.google.com/open?id=1B9wANxTWHzGzYDDNxLrzvjILcVVnwfiH" TargetMode="External"/><Relationship Id="rId70" Type="http://schemas.openxmlformats.org/officeDocument/2006/relationships/hyperlink" Target="https://drive.google.com/open?id=1fHWrewOuVVMOs7GwKdQcfvPHW02cYilE" TargetMode="External"/><Relationship Id="rId932" Type="http://schemas.openxmlformats.org/officeDocument/2006/relationships/hyperlink" Target="https://drive.google.com/open?id=18_7t-D5rZGuBHEwbS0hRlPrAemPFJo30" TargetMode="External"/><Relationship Id="rId931" Type="http://schemas.openxmlformats.org/officeDocument/2006/relationships/hyperlink" Target="https://drive.google.com/open?id=1pZ8ZjDo5Lse3FDaODkqmINzb11sg0Pp-" TargetMode="External"/><Relationship Id="rId930" Type="http://schemas.openxmlformats.org/officeDocument/2006/relationships/hyperlink" Target="https://drive.google.com/open?id=1HPXkyCJYtoVXLQqcEAHA_Fb6Y0fFxlTO" TargetMode="External"/><Relationship Id="rId936" Type="http://schemas.openxmlformats.org/officeDocument/2006/relationships/hyperlink" Target="https://drive.google.com/open?id=1XQtx3pRcKxgW4O0KxRGiAjaHYl3bCAi8" TargetMode="External"/><Relationship Id="rId935" Type="http://schemas.openxmlformats.org/officeDocument/2006/relationships/hyperlink" Target="https://drive.google.com/open?id=1B47vyw_Ke4EieO30_L-YMZrDd5ASQtT2" TargetMode="External"/><Relationship Id="rId934" Type="http://schemas.openxmlformats.org/officeDocument/2006/relationships/hyperlink" Target="https://drive.google.com/open?id=1yHxUS_-QF4ZHc0VFNigboNXIVmln9uwO" TargetMode="External"/><Relationship Id="rId933" Type="http://schemas.openxmlformats.org/officeDocument/2006/relationships/hyperlink" Target="https://drive.google.com/open?id=1LUHOtrR1n0jEUWM7Gykz3x-Vv9p0VQ1l" TargetMode="External"/><Relationship Id="rId62" Type="http://schemas.openxmlformats.org/officeDocument/2006/relationships/hyperlink" Target="https://drive.google.com/open?id=169lZimUYwMhGstVXZX9c1twyORipE50g" TargetMode="External"/><Relationship Id="rId61" Type="http://schemas.openxmlformats.org/officeDocument/2006/relationships/hyperlink" Target="https://drive.google.com/open?id=1fGOzMcrX7wbnBOv-4Rg8Fe6aXgWFDWBF" TargetMode="External"/><Relationship Id="rId64" Type="http://schemas.openxmlformats.org/officeDocument/2006/relationships/hyperlink" Target="https://drive.google.com/open?id=1J4nq1BmvkQtzKtTImoOCJYL9C8w98Z38" TargetMode="External"/><Relationship Id="rId63" Type="http://schemas.openxmlformats.org/officeDocument/2006/relationships/hyperlink" Target="https://drive.google.com/open?id=1r-GmtyBxHdoALm6W0ObSvxhO9Vpdq2yu" TargetMode="External"/><Relationship Id="rId66" Type="http://schemas.openxmlformats.org/officeDocument/2006/relationships/hyperlink" Target="https://drive.google.com/open?id=1g07bV9wzSHZSKXfw4SnzOQn_UemoVDvr" TargetMode="External"/><Relationship Id="rId65" Type="http://schemas.openxmlformats.org/officeDocument/2006/relationships/hyperlink" Target="https://drive.google.com/open?id=1FCeb8McpTEnGgsMvZC8wm_myX-PQzCFM" TargetMode="External"/><Relationship Id="rId68" Type="http://schemas.openxmlformats.org/officeDocument/2006/relationships/hyperlink" Target="https://drive.google.com/open?id=1tO54UWtaEDvVT7FMbXztZ6fTTc8ur5hW" TargetMode="External"/><Relationship Id="rId67" Type="http://schemas.openxmlformats.org/officeDocument/2006/relationships/hyperlink" Target="https://drive.google.com/open?id=1PWkarJ3708BwgZgu1j69D3W0dbP1vs2U" TargetMode="External"/><Relationship Id="rId729" Type="http://schemas.openxmlformats.org/officeDocument/2006/relationships/hyperlink" Target="https://drive.google.com/open?id=1muiryBBcmhflZGkzMs4tl3ydngfVTIVg" TargetMode="External"/><Relationship Id="rId728" Type="http://schemas.openxmlformats.org/officeDocument/2006/relationships/hyperlink" Target="https://drive.google.com/open?id=1mgd6HKZRfGC7pG0qkqvYI5hDy-M2SD19" TargetMode="External"/><Relationship Id="rId60" Type="http://schemas.openxmlformats.org/officeDocument/2006/relationships/hyperlink" Target="https://drive.google.com/open?id=1qEWlFVEvk85RdigBuJM0GCy1YhmYzqjB" TargetMode="External"/><Relationship Id="rId723" Type="http://schemas.openxmlformats.org/officeDocument/2006/relationships/hyperlink" Target="https://drive.google.com/open?id=1aN6aeROtXevFbweHPkxNAgWhuTsfmN4b" TargetMode="External"/><Relationship Id="rId965" Type="http://schemas.openxmlformats.org/officeDocument/2006/relationships/hyperlink" Target="https://drive.google.com/open?id=1EZxmqK-7oug3JinPSA79gb6bH_-KjJqE" TargetMode="External"/><Relationship Id="rId722" Type="http://schemas.openxmlformats.org/officeDocument/2006/relationships/hyperlink" Target="https://drive.google.com/open?id=1o3gSc7O851x6Tnzarl0H9iEHunqni6St" TargetMode="External"/><Relationship Id="rId964" Type="http://schemas.openxmlformats.org/officeDocument/2006/relationships/hyperlink" Target="https://drive.google.com/open?id=1H1VoaZO9-SzIs_Np_Ml0Mrgtx5dMKKGz" TargetMode="External"/><Relationship Id="rId721" Type="http://schemas.openxmlformats.org/officeDocument/2006/relationships/hyperlink" Target="https://drive.google.com/open?id=1lrFaIwQmwzpyMzgiHtBMAVx3v9Yl9hmI" TargetMode="External"/><Relationship Id="rId963" Type="http://schemas.openxmlformats.org/officeDocument/2006/relationships/hyperlink" Target="https://drive.google.com/open?id=12IAw_lcwvOYlj2_E8jxRFGN7XjEhJpjX" TargetMode="External"/><Relationship Id="rId720" Type="http://schemas.openxmlformats.org/officeDocument/2006/relationships/hyperlink" Target="https://drive.google.com/open?id=1JAkTtPFTef3_dR3S-xDiN5cnoX6vbOe3" TargetMode="External"/><Relationship Id="rId962" Type="http://schemas.openxmlformats.org/officeDocument/2006/relationships/hyperlink" Target="https://drive.google.com/open?id=1Ma8nrsY1tD9uTu_7OQCJ-oD67BOcmxwE" TargetMode="External"/><Relationship Id="rId727" Type="http://schemas.openxmlformats.org/officeDocument/2006/relationships/hyperlink" Target="https://drive.google.com/open?id=1jsNLYwCW7LdoyHKqs18dvgXs1JdY4Ee-" TargetMode="External"/><Relationship Id="rId969" Type="http://schemas.openxmlformats.org/officeDocument/2006/relationships/hyperlink" Target="https://drive.google.com/open?id=1w2eSHsFcbaPRxeXN7daeUwkszlgFneGT" TargetMode="External"/><Relationship Id="rId726" Type="http://schemas.openxmlformats.org/officeDocument/2006/relationships/hyperlink" Target="https://drive.google.com/open?id=1CF_L5BRyCKY0NBqGqv4dzSIkTWOfbsIg" TargetMode="External"/><Relationship Id="rId968" Type="http://schemas.openxmlformats.org/officeDocument/2006/relationships/hyperlink" Target="https://drive.google.com/open?id=1I_2Xz4UFbPD6BYf-u2ZdW14nr8ve1rXd" TargetMode="External"/><Relationship Id="rId725" Type="http://schemas.openxmlformats.org/officeDocument/2006/relationships/hyperlink" Target="https://drive.google.com/open?id=1B7fBOMO_BzZm7np8h2_nH_zh0N6YL3E5" TargetMode="External"/><Relationship Id="rId967" Type="http://schemas.openxmlformats.org/officeDocument/2006/relationships/hyperlink" Target="https://drive.google.com/open?id=1iMkMxsmWziTxvZm3qA8T3Ar6zo60nTkn" TargetMode="External"/><Relationship Id="rId724" Type="http://schemas.openxmlformats.org/officeDocument/2006/relationships/hyperlink" Target="https://drive.google.com/open?id=1TllXYgriwUUgs8rVKLsZ8Vo8q_7nqC6R" TargetMode="External"/><Relationship Id="rId966" Type="http://schemas.openxmlformats.org/officeDocument/2006/relationships/hyperlink" Target="https://drive.google.com/open?id=1IVyVIPIQwioxb9GTQ8S9uf5WlRJZYuRe" TargetMode="External"/><Relationship Id="rId69" Type="http://schemas.openxmlformats.org/officeDocument/2006/relationships/hyperlink" Target="https://drive.google.com/open?id=1scH-DAJpo_2haJsezc6m8vmgtDRL5Qag" TargetMode="External"/><Relationship Id="rId961" Type="http://schemas.openxmlformats.org/officeDocument/2006/relationships/hyperlink" Target="https://drive.google.com/open?id=1UmmbEUVJOGoHR_mkudgR0vcfxpCXGXxF" TargetMode="External"/><Relationship Id="rId960" Type="http://schemas.openxmlformats.org/officeDocument/2006/relationships/hyperlink" Target="https://drive.google.com/open?id=1608mjIvW0AIuoSVvVqH8t-vyt4dkWwbl" TargetMode="External"/><Relationship Id="rId51" Type="http://schemas.openxmlformats.org/officeDocument/2006/relationships/hyperlink" Target="https://drive.google.com/open?id=1F2SLxf0K0jHQrrdo-0jQ8U8_WcO7ZgC8" TargetMode="External"/><Relationship Id="rId50" Type="http://schemas.openxmlformats.org/officeDocument/2006/relationships/hyperlink" Target="https://drive.google.com/open?id=1pm6HCAmH7BGnORduYYp1UGyEqUvsEbOb" TargetMode="External"/><Relationship Id="rId53" Type="http://schemas.openxmlformats.org/officeDocument/2006/relationships/hyperlink" Target="https://drive.google.com/open?id=1zztA5z7ep00Xw3Du3xgwhzQ9mQMTPlrw" TargetMode="External"/><Relationship Id="rId52" Type="http://schemas.openxmlformats.org/officeDocument/2006/relationships/hyperlink" Target="https://drive.google.com/open?id=1sSlH91Ssjnn4Hxjx8EfrfVdOFI4jdVls" TargetMode="External"/><Relationship Id="rId55" Type="http://schemas.openxmlformats.org/officeDocument/2006/relationships/hyperlink" Target="https://drive.google.com/open?id=16GM02mPkOe10Fnp1zCsD3XqWdvV8Y965" TargetMode="External"/><Relationship Id="rId54" Type="http://schemas.openxmlformats.org/officeDocument/2006/relationships/hyperlink" Target="https://drive.google.com/open?id=1fZHJMwvRr6mNRR5c-1srBIZfGikMQbvA" TargetMode="External"/><Relationship Id="rId57" Type="http://schemas.openxmlformats.org/officeDocument/2006/relationships/hyperlink" Target="https://drive.google.com/open?id=1lFta2g9b8JS0Nel-WTsAyZCDTM8dcwwp" TargetMode="External"/><Relationship Id="rId56" Type="http://schemas.openxmlformats.org/officeDocument/2006/relationships/hyperlink" Target="https://drive.google.com/open?id=1vyXq9dsBaeEM_pQcjWzoNbmjh1Xde1S1" TargetMode="External"/><Relationship Id="rId719" Type="http://schemas.openxmlformats.org/officeDocument/2006/relationships/hyperlink" Target="https://drive.google.com/open?id=1LFySLHTNdU4EFiaxWArOf8fJ1QFJTHIW" TargetMode="External"/><Relationship Id="rId718" Type="http://schemas.openxmlformats.org/officeDocument/2006/relationships/hyperlink" Target="https://drive.google.com/open?id=1G3j_-JvfCDHoAHPTtAVbdfLC1wxWwrPU" TargetMode="External"/><Relationship Id="rId717" Type="http://schemas.openxmlformats.org/officeDocument/2006/relationships/hyperlink" Target="https://drive.google.com/open?id=1pUg6BYhbWgXCywg_uEXfmcAOyHQ2eMrG" TargetMode="External"/><Relationship Id="rId959" Type="http://schemas.openxmlformats.org/officeDocument/2006/relationships/hyperlink" Target="https://drive.google.com/open?id=1YsEqC2oiJypZFLR0sUtcpETq5T1e4BBG" TargetMode="External"/><Relationship Id="rId712" Type="http://schemas.openxmlformats.org/officeDocument/2006/relationships/hyperlink" Target="https://drive.google.com/open?id=1GpBXRuaVuF2ErLm2wi3GIcAYjPHeZdJo" TargetMode="External"/><Relationship Id="rId954" Type="http://schemas.openxmlformats.org/officeDocument/2006/relationships/hyperlink" Target="https://drive.google.com/open?id=1H2ye1eR-4xQmsLNYsIf8g4K7VCCR-ooT" TargetMode="External"/><Relationship Id="rId711" Type="http://schemas.openxmlformats.org/officeDocument/2006/relationships/hyperlink" Target="https://drive.google.com/open?id=17Q1gYbymfrxBH5fF52wY7E0zmeGpyrCJ" TargetMode="External"/><Relationship Id="rId953" Type="http://schemas.openxmlformats.org/officeDocument/2006/relationships/hyperlink" Target="https://drive.google.com/open?id=1TmEuXIEdlj62Ml9RTBqK7-AMGxQGc__9" TargetMode="External"/><Relationship Id="rId710" Type="http://schemas.openxmlformats.org/officeDocument/2006/relationships/hyperlink" Target="https://drive.google.com/open?id=1Hnnh1pTu35iC2BhyJ4owAnnBrn-ahR0z" TargetMode="External"/><Relationship Id="rId952" Type="http://schemas.openxmlformats.org/officeDocument/2006/relationships/hyperlink" Target="https://drive.google.com/open?id=1TTr6giI8WObzLDIbqpNS-XzaQS8jfpw3" TargetMode="External"/><Relationship Id="rId951" Type="http://schemas.openxmlformats.org/officeDocument/2006/relationships/hyperlink" Target="https://drive.google.com/open?id=1z9trFZgsoTz4rltE5x1i76sRigv9PbvT" TargetMode="External"/><Relationship Id="rId716" Type="http://schemas.openxmlformats.org/officeDocument/2006/relationships/hyperlink" Target="https://drive.google.com/open?id=1sj3OMfUtKG2_PPmvkms2MGDqwEolZuGZ" TargetMode="External"/><Relationship Id="rId958" Type="http://schemas.openxmlformats.org/officeDocument/2006/relationships/hyperlink" Target="https://drive.google.com/open?id=1lDyFAG7uJXBKyxUvoA3RbypGZJGr9gqx" TargetMode="External"/><Relationship Id="rId715" Type="http://schemas.openxmlformats.org/officeDocument/2006/relationships/hyperlink" Target="https://drive.google.com/open?id=1NOZ_15d3_hyB3WmIyvImK4DorjP53o7M" TargetMode="External"/><Relationship Id="rId957" Type="http://schemas.openxmlformats.org/officeDocument/2006/relationships/hyperlink" Target="https://drive.google.com/open?id=1V8JA6usaREmn_fzCXgkz2RxMKoNc75wm" TargetMode="External"/><Relationship Id="rId714" Type="http://schemas.openxmlformats.org/officeDocument/2006/relationships/hyperlink" Target="https://drive.google.com/open?id=12-Tw5hlN6BKYLkHhrjOeZaX9coiVFIjh" TargetMode="External"/><Relationship Id="rId956" Type="http://schemas.openxmlformats.org/officeDocument/2006/relationships/hyperlink" Target="https://drive.google.com/open?id=17Saf4W-Z8tQ4U2C3bmDHxLnxVJJdyztu" TargetMode="External"/><Relationship Id="rId713" Type="http://schemas.openxmlformats.org/officeDocument/2006/relationships/hyperlink" Target="https://drive.google.com/open?id=15XzfpFRujO_pbRrDEOdUzZb1rzn06TAb" TargetMode="External"/><Relationship Id="rId955" Type="http://schemas.openxmlformats.org/officeDocument/2006/relationships/hyperlink" Target="https://drive.google.com/open?id=1uXrqeG0HTrcWPpIVerLwIuCA9bZBN6Hj" TargetMode="External"/><Relationship Id="rId59" Type="http://schemas.openxmlformats.org/officeDocument/2006/relationships/hyperlink" Target="https://drive.google.com/open?id=1M-MHdcLurWTVOAc6SKn8ipOC3zq9zVYD" TargetMode="External"/><Relationship Id="rId58" Type="http://schemas.openxmlformats.org/officeDocument/2006/relationships/hyperlink" Target="https://drive.google.com/open?id=1GwTuWznyu0DWve7yYotkqyHY9b_lX0Z3" TargetMode="External"/><Relationship Id="rId950" Type="http://schemas.openxmlformats.org/officeDocument/2006/relationships/hyperlink" Target="https://drive.google.com/open?id=1-VeCED8wRiM3MxQzq5h9QFjvOKEherDr" TargetMode="External"/><Relationship Id="rId590" Type="http://schemas.openxmlformats.org/officeDocument/2006/relationships/hyperlink" Target="https://drive.google.com/open?id=1Eibzx49wIyy9LDsMT9DPeJRIzS6JFaxl" TargetMode="External"/><Relationship Id="rId107" Type="http://schemas.openxmlformats.org/officeDocument/2006/relationships/hyperlink" Target="https://drive.google.com/open?id=1WjJkuO8iH9J4NywF2fko3FVmZmSDz3fJ" TargetMode="External"/><Relationship Id="rId349" Type="http://schemas.openxmlformats.org/officeDocument/2006/relationships/hyperlink" Target="https://drive.google.com/open?id=1v5dKta8nwaAf0SCWJhFxLchzV6bTlOFh" TargetMode="External"/><Relationship Id="rId106" Type="http://schemas.openxmlformats.org/officeDocument/2006/relationships/hyperlink" Target="https://drive.google.com/open?id=1fcUBU4uYrjr7FsyZbGEOloURzdb-8raT" TargetMode="External"/><Relationship Id="rId348" Type="http://schemas.openxmlformats.org/officeDocument/2006/relationships/hyperlink" Target="https://drive.google.com/open?id=1p9j2BBZ-fWGJgCAytt4pg4E7mGpUvrGu" TargetMode="External"/><Relationship Id="rId105" Type="http://schemas.openxmlformats.org/officeDocument/2006/relationships/hyperlink" Target="https://drive.google.com/open?id=1dHigGFrYQdnYKGB7Uxuu2nfnp6U2cV3e" TargetMode="External"/><Relationship Id="rId347" Type="http://schemas.openxmlformats.org/officeDocument/2006/relationships/hyperlink" Target="https://drive.google.com/open?id=1_a8L4_LZBMzBxnh7UMzbeQkKT3sFzKBn" TargetMode="External"/><Relationship Id="rId589" Type="http://schemas.openxmlformats.org/officeDocument/2006/relationships/hyperlink" Target="https://drive.google.com/open?id=1OIHURvFl6CmTZ0Znj8Q-N-KUi4tIr7qG" TargetMode="External"/><Relationship Id="rId104" Type="http://schemas.openxmlformats.org/officeDocument/2006/relationships/hyperlink" Target="https://drive.google.com/open?id=1PmbFKDPlUKhpQyevxiP8WsY9UGuIm3u8" TargetMode="External"/><Relationship Id="rId346" Type="http://schemas.openxmlformats.org/officeDocument/2006/relationships/hyperlink" Target="https://drive.google.com/open?id=1eFlCWxjxTy4jOK7Hr_DKbdRaiOgIkJ1k" TargetMode="External"/><Relationship Id="rId588" Type="http://schemas.openxmlformats.org/officeDocument/2006/relationships/hyperlink" Target="https://drive.google.com/open?id=1F-dSic8YTh98dWqmjBLmGF3THHp2NFkq" TargetMode="External"/><Relationship Id="rId109" Type="http://schemas.openxmlformats.org/officeDocument/2006/relationships/hyperlink" Target="https://drive.google.com/open?id=1m-CYA2f5P5QW5HvVK4ucbci4DzwxLFcl" TargetMode="External"/><Relationship Id="rId108" Type="http://schemas.openxmlformats.org/officeDocument/2006/relationships/hyperlink" Target="https://drive.google.com/open?id=1qw2YTkudkr8InNzNC3QBIi8Fxg4Gm_uG" TargetMode="External"/><Relationship Id="rId341" Type="http://schemas.openxmlformats.org/officeDocument/2006/relationships/hyperlink" Target="https://drive.google.com/open?id=1E4k61Q4JEviYuxuIYq5Y9mpkJ7c3bnyC" TargetMode="External"/><Relationship Id="rId583" Type="http://schemas.openxmlformats.org/officeDocument/2006/relationships/hyperlink" Target="https://drive.google.com/open?id=1IZHiLqXPkv_v3uSNOJNHPgakKt7wbStr" TargetMode="External"/><Relationship Id="rId340" Type="http://schemas.openxmlformats.org/officeDocument/2006/relationships/hyperlink" Target="https://drive.google.com/open?id=1nfo9RrQYpoCOOxrdNbBcd4i2-ylpOxfS" TargetMode="External"/><Relationship Id="rId582" Type="http://schemas.openxmlformats.org/officeDocument/2006/relationships/hyperlink" Target="https://drive.google.com/open?id=1snsjfgjRl1r0rGRcM5oHKKyp51BG_2Yg" TargetMode="External"/><Relationship Id="rId581" Type="http://schemas.openxmlformats.org/officeDocument/2006/relationships/hyperlink" Target="https://drive.google.com/open?id=1BnxN4MeMXrK76OjsawYg4iSmdDSwgqMq" TargetMode="External"/><Relationship Id="rId580" Type="http://schemas.openxmlformats.org/officeDocument/2006/relationships/hyperlink" Target="https://drive.google.com/open?id=1CPnNQSyrnLppHdHes2XGbi6DprudpNc9" TargetMode="External"/><Relationship Id="rId103" Type="http://schemas.openxmlformats.org/officeDocument/2006/relationships/hyperlink" Target="https://drive.google.com/open?id=1UA585OS-iL-EzTSOI1-HQb1cRQhwezh5" TargetMode="External"/><Relationship Id="rId345" Type="http://schemas.openxmlformats.org/officeDocument/2006/relationships/hyperlink" Target="https://drive.google.com/open?id=1q_XLbzIOh43sfO8l3oKFFezD1DL5kX4-" TargetMode="External"/><Relationship Id="rId587" Type="http://schemas.openxmlformats.org/officeDocument/2006/relationships/hyperlink" Target="https://drive.google.com/open?id=1KxSe9qohqNqjclthPZ-IvftdO0LOyKM4" TargetMode="External"/><Relationship Id="rId102" Type="http://schemas.openxmlformats.org/officeDocument/2006/relationships/hyperlink" Target="https://drive.google.com/open?id=1hil0uVhY6uDL1rhDralMsfQiOm83obFt" TargetMode="External"/><Relationship Id="rId344" Type="http://schemas.openxmlformats.org/officeDocument/2006/relationships/hyperlink" Target="https://drive.google.com/open?id=1a5elmmSbicGIxnNIENpoFI7GMJJmNp2A" TargetMode="External"/><Relationship Id="rId586" Type="http://schemas.openxmlformats.org/officeDocument/2006/relationships/hyperlink" Target="https://drive.google.com/open?id=1BOOox47el2rEifjsjaejs9W_n5vX8vOV" TargetMode="External"/><Relationship Id="rId101" Type="http://schemas.openxmlformats.org/officeDocument/2006/relationships/hyperlink" Target="https://drive.google.com/open?id=1k2pBsUI1uyKxfHkT-Z_HF_HN1CqlPbNr" TargetMode="External"/><Relationship Id="rId343" Type="http://schemas.openxmlformats.org/officeDocument/2006/relationships/hyperlink" Target="https://drive.google.com/open?id=12qkdrIXCV3bU5lD9lQxhm24pCZkIUu19" TargetMode="External"/><Relationship Id="rId585" Type="http://schemas.openxmlformats.org/officeDocument/2006/relationships/hyperlink" Target="https://drive.google.com/open?id=1w-diVH74LnwsNsnG8VyOJpeGJZBEfDWn" TargetMode="External"/><Relationship Id="rId100" Type="http://schemas.openxmlformats.org/officeDocument/2006/relationships/hyperlink" Target="https://drive.google.com/open?id=1P-PnxhARV0eAiazhrc7D7gqfI9a9qZXG" TargetMode="External"/><Relationship Id="rId342" Type="http://schemas.openxmlformats.org/officeDocument/2006/relationships/hyperlink" Target="https://drive.google.com/open?id=105z_qHHH0zYMC2am6brUqCO0vq6qCuSi" TargetMode="External"/><Relationship Id="rId584" Type="http://schemas.openxmlformats.org/officeDocument/2006/relationships/hyperlink" Target="https://drive.google.com/open?id=1CLKEDxejDig2qUsRqShQwNWMa9C2rcY0" TargetMode="External"/><Relationship Id="rId338" Type="http://schemas.openxmlformats.org/officeDocument/2006/relationships/hyperlink" Target="https://drive.google.com/open?id=1LpA_r62BIaFudYSJTscWxC3p3l05x_m1" TargetMode="External"/><Relationship Id="rId337" Type="http://schemas.openxmlformats.org/officeDocument/2006/relationships/hyperlink" Target="https://drive.google.com/open?id=1HuJ6cEjbO73favMm-CLmdMta_o0-7Sma" TargetMode="External"/><Relationship Id="rId579" Type="http://schemas.openxmlformats.org/officeDocument/2006/relationships/hyperlink" Target="https://drive.google.com/open?id=1j2m-M52reDsZaWIEjQfUmknp59mHE4QY" TargetMode="External"/><Relationship Id="rId336" Type="http://schemas.openxmlformats.org/officeDocument/2006/relationships/hyperlink" Target="https://drive.google.com/open?id=1huMwUBsZbXIRshnQuyvbqI7Jsso7zpVC" TargetMode="External"/><Relationship Id="rId578" Type="http://schemas.openxmlformats.org/officeDocument/2006/relationships/hyperlink" Target="https://drive.google.com/open?id=1FsNYpIzPZtv5DEtYK7eZyCXW31PDAN3C" TargetMode="External"/><Relationship Id="rId335" Type="http://schemas.openxmlformats.org/officeDocument/2006/relationships/hyperlink" Target="https://drive.google.com/open?id=1HC2lJpljAfpmKHwimovJwlBFCFspM1hf" TargetMode="External"/><Relationship Id="rId577" Type="http://schemas.openxmlformats.org/officeDocument/2006/relationships/hyperlink" Target="https://drive.google.com/open?id=1THM5snj4m60Z-ISaOOOe5hP2XgtWnocs" TargetMode="External"/><Relationship Id="rId339" Type="http://schemas.openxmlformats.org/officeDocument/2006/relationships/hyperlink" Target="https://drive.google.com/open?id=18esSo9UjxdjS-jHtzYGLKMyyWPdNrv-3" TargetMode="External"/><Relationship Id="rId330" Type="http://schemas.openxmlformats.org/officeDocument/2006/relationships/hyperlink" Target="https://drive.google.com/open?id=1Xwaz4sQAlRCfrD6iids6VPExOujjXXBF" TargetMode="External"/><Relationship Id="rId572" Type="http://schemas.openxmlformats.org/officeDocument/2006/relationships/hyperlink" Target="https://drive.google.com/open?id=1o2jvOtyJ_TKR7bK36J9SG3hVdV0h2dj9" TargetMode="External"/><Relationship Id="rId571" Type="http://schemas.openxmlformats.org/officeDocument/2006/relationships/hyperlink" Target="https://drive.google.com/open?id=1X7MZq9UGCsTPi5ctUCYrAChRYoD3-uCF" TargetMode="External"/><Relationship Id="rId570" Type="http://schemas.openxmlformats.org/officeDocument/2006/relationships/hyperlink" Target="https://drive.google.com/open?id=1nT43_lkWbCzNFtXydT80MIIEjv95-4NZ" TargetMode="External"/><Relationship Id="rId334" Type="http://schemas.openxmlformats.org/officeDocument/2006/relationships/hyperlink" Target="https://drive.google.com/open?id=1TK-G0sTdCM6AmCQC-oxvHQXNMNTA5X5v" TargetMode="External"/><Relationship Id="rId576" Type="http://schemas.openxmlformats.org/officeDocument/2006/relationships/hyperlink" Target="https://drive.google.com/open?id=14KsaFhq0PY70Ldg7i7iqyOH8_oe1JX9e" TargetMode="External"/><Relationship Id="rId333" Type="http://schemas.openxmlformats.org/officeDocument/2006/relationships/hyperlink" Target="https://drive.google.com/open?id=1cMyVQeNyhrswRcOtjpCyB0uO9JlnTz9p" TargetMode="External"/><Relationship Id="rId575" Type="http://schemas.openxmlformats.org/officeDocument/2006/relationships/hyperlink" Target="https://drive.google.com/open?id=1ai-nGpkaMuLskpZohC_sxx94q2bKI9o-" TargetMode="External"/><Relationship Id="rId332" Type="http://schemas.openxmlformats.org/officeDocument/2006/relationships/hyperlink" Target="https://drive.google.com/open?id=1eHQtZ2BqRvfqj3W6kLo8LB7iGVeAZv-u" TargetMode="External"/><Relationship Id="rId574" Type="http://schemas.openxmlformats.org/officeDocument/2006/relationships/hyperlink" Target="https://drive.google.com/open?id=1RWm0XiKtv_nWHaEdD35EiLuyMxeAaPj6" TargetMode="External"/><Relationship Id="rId331" Type="http://schemas.openxmlformats.org/officeDocument/2006/relationships/hyperlink" Target="https://drive.google.com/open?id=1XMP5ODoHHSKEBF0BYDGM_DF_v6lGmz-p" TargetMode="External"/><Relationship Id="rId573" Type="http://schemas.openxmlformats.org/officeDocument/2006/relationships/hyperlink" Target="https://drive.google.com/open?id=1yyE6JnGhoc4sxkEWnnVMEiBKccqtBn-m" TargetMode="External"/><Relationship Id="rId370" Type="http://schemas.openxmlformats.org/officeDocument/2006/relationships/hyperlink" Target="https://drive.google.com/open?id=13f3UeeapV6WdhGPC25_EjjC9eCZ_1wg8" TargetMode="External"/><Relationship Id="rId129" Type="http://schemas.openxmlformats.org/officeDocument/2006/relationships/hyperlink" Target="https://drive.google.com/open?id=1V5cAQgfGaAPivtTj-ymxInBHWyczJJ9b" TargetMode="External"/><Relationship Id="rId128" Type="http://schemas.openxmlformats.org/officeDocument/2006/relationships/hyperlink" Target="https://drive.google.com/open?id=1VF6BKhvGKEbk8Mirmj9V69rnjwOzsgHZ" TargetMode="External"/><Relationship Id="rId127" Type="http://schemas.openxmlformats.org/officeDocument/2006/relationships/hyperlink" Target="https://drive.google.com/open?id=1erJUvOddkEiXRJzFdx_kAsnsA08BLvXu" TargetMode="External"/><Relationship Id="rId369" Type="http://schemas.openxmlformats.org/officeDocument/2006/relationships/hyperlink" Target="https://drive.google.com/open?id=1uP7NwIHxNRM19e3OTInWTQudUicPAfsx" TargetMode="External"/><Relationship Id="rId126" Type="http://schemas.openxmlformats.org/officeDocument/2006/relationships/hyperlink" Target="https://drive.google.com/open?id=1Z1Ke2oSg0E_1DjLf6x5FaG2FgAWjvCOC" TargetMode="External"/><Relationship Id="rId368" Type="http://schemas.openxmlformats.org/officeDocument/2006/relationships/hyperlink" Target="https://drive.google.com/open?id=1YS3ZCWsl0Xvi9SPqbzSnYdtYENlcLC0q" TargetMode="External"/><Relationship Id="rId121" Type="http://schemas.openxmlformats.org/officeDocument/2006/relationships/hyperlink" Target="https://drive.google.com/open?id=1oWI6haNeAh7qL-btIZi3fV9wzcLKItUp" TargetMode="External"/><Relationship Id="rId363" Type="http://schemas.openxmlformats.org/officeDocument/2006/relationships/hyperlink" Target="https://drive.google.com/open?id=1L7Ao6WiN-iHrmZ0wXrvq0HIMVc1Lnu3M" TargetMode="External"/><Relationship Id="rId120" Type="http://schemas.openxmlformats.org/officeDocument/2006/relationships/hyperlink" Target="https://drive.google.com/open?id=14gsSeCKzt4OmADfcuO8ntqL82LV44rVX" TargetMode="External"/><Relationship Id="rId362" Type="http://schemas.openxmlformats.org/officeDocument/2006/relationships/hyperlink" Target="https://drive.google.com/open?id=1DlS2v0QtJ5ykdKVJv5y1NU9S1qsZ3xrV" TargetMode="External"/><Relationship Id="rId361" Type="http://schemas.openxmlformats.org/officeDocument/2006/relationships/hyperlink" Target="https://drive.google.com/open?id=1qmLsp7CcdxBJpnj3VmYZJgwBtgISILB-" TargetMode="External"/><Relationship Id="rId360" Type="http://schemas.openxmlformats.org/officeDocument/2006/relationships/hyperlink" Target="https://drive.google.com/open?id=1950u9LCI5Qt1F1zYA0U-nlch5F9hLbTM" TargetMode="External"/><Relationship Id="rId125" Type="http://schemas.openxmlformats.org/officeDocument/2006/relationships/hyperlink" Target="https://drive.google.com/open?id=14gPOryLhTU_f0yV-SEdQysdGVRXTLpFA" TargetMode="External"/><Relationship Id="rId367" Type="http://schemas.openxmlformats.org/officeDocument/2006/relationships/hyperlink" Target="https://drive.google.com/open?id=1Z5d9dLzT2swp8DthwMtQY7ZdDefyDjzg" TargetMode="External"/><Relationship Id="rId124" Type="http://schemas.openxmlformats.org/officeDocument/2006/relationships/hyperlink" Target="https://drive.google.com/open?id=1fB7D6pbbSR69L2G5vIZdbmvAgubNUMRT" TargetMode="External"/><Relationship Id="rId366" Type="http://schemas.openxmlformats.org/officeDocument/2006/relationships/hyperlink" Target="https://drive.google.com/open?id=10BYbGetPUYUav-urHJRvAePDMcED9DNn" TargetMode="External"/><Relationship Id="rId123" Type="http://schemas.openxmlformats.org/officeDocument/2006/relationships/hyperlink" Target="https://drive.google.com/open?id=18z7IZf7q9zIR4ouCnlcbAM3H26rCk8JP" TargetMode="External"/><Relationship Id="rId365" Type="http://schemas.openxmlformats.org/officeDocument/2006/relationships/hyperlink" Target="https://drive.google.com/open?id=170JVXhV_eIJ0K_Rrbuuc5rO9eu4DJ47y" TargetMode="External"/><Relationship Id="rId122" Type="http://schemas.openxmlformats.org/officeDocument/2006/relationships/hyperlink" Target="https://drive.google.com/open?id=1sRREFqcqXai94PZYD0ahxbSJMLwIdVt9" TargetMode="External"/><Relationship Id="rId364" Type="http://schemas.openxmlformats.org/officeDocument/2006/relationships/hyperlink" Target="https://drive.google.com/open?id=1ZvQdL48G3K3Up0A3v1OCNue8UBKu9i1P" TargetMode="External"/><Relationship Id="rId95" Type="http://schemas.openxmlformats.org/officeDocument/2006/relationships/hyperlink" Target="https://drive.google.com/open?id=12VpNnDmKYGy5z5L5KznN87oejfTz7d0L" TargetMode="External"/><Relationship Id="rId94" Type="http://schemas.openxmlformats.org/officeDocument/2006/relationships/hyperlink" Target="https://drive.google.com/open?id=1K2ctrrBXItGwsuj3HSqzJeVak6nYyAp0" TargetMode="External"/><Relationship Id="rId97" Type="http://schemas.openxmlformats.org/officeDocument/2006/relationships/hyperlink" Target="https://drive.google.com/open?id=1rcXKzfoE2KTJy2UFxbdnI_C6HnztWcuI" TargetMode="External"/><Relationship Id="rId96" Type="http://schemas.openxmlformats.org/officeDocument/2006/relationships/hyperlink" Target="https://drive.google.com/open?id=1iImgQD3G9ekKMkCJ4SxfwWMixlM1QO7q" TargetMode="External"/><Relationship Id="rId99" Type="http://schemas.openxmlformats.org/officeDocument/2006/relationships/hyperlink" Target="https://drive.google.com/open?id=1vPYALN-djZWMw7isIU04LgaGDrZ_kJnh" TargetMode="External"/><Relationship Id="rId98" Type="http://schemas.openxmlformats.org/officeDocument/2006/relationships/hyperlink" Target="https://drive.google.com/open?id=1FyNxqwv34-bxTqhLfq1GoEWvcBka8THz" TargetMode="External"/><Relationship Id="rId91" Type="http://schemas.openxmlformats.org/officeDocument/2006/relationships/hyperlink" Target="https://drive.google.com/open?id=1U1usqMlyVQGdWVjZ6uF8xXkNgf2L4W6M" TargetMode="External"/><Relationship Id="rId90" Type="http://schemas.openxmlformats.org/officeDocument/2006/relationships/hyperlink" Target="https://drive.google.com/open?id=1TEPftFa_Db24s_yYaCJ4QpkHNoPOUIuU" TargetMode="External"/><Relationship Id="rId93" Type="http://schemas.openxmlformats.org/officeDocument/2006/relationships/hyperlink" Target="https://drive.google.com/open?id=1E4qamuLeD5G4FGBrKl4tkCmSRY_51orl" TargetMode="External"/><Relationship Id="rId92" Type="http://schemas.openxmlformats.org/officeDocument/2006/relationships/hyperlink" Target="https://drive.google.com/open?id=1t5Kdu6-pysEsNC2kgt4nIAGOIHIjqf-H" TargetMode="External"/><Relationship Id="rId118" Type="http://schemas.openxmlformats.org/officeDocument/2006/relationships/hyperlink" Target="https://drive.google.com/open?id=1e_BZC53i5jQVcfTH0heqEi5-KMCmJ3Xx" TargetMode="External"/><Relationship Id="rId117" Type="http://schemas.openxmlformats.org/officeDocument/2006/relationships/hyperlink" Target="https://drive.google.com/open?id=1XgSzRqh0KcjZoj19BuutNsIxXvlpeSxn" TargetMode="External"/><Relationship Id="rId359" Type="http://schemas.openxmlformats.org/officeDocument/2006/relationships/hyperlink" Target="https://drive.google.com/open?id=172IpgUbQrYsSw6fJ5n4-hKl7bztAjBtm" TargetMode="External"/><Relationship Id="rId116" Type="http://schemas.openxmlformats.org/officeDocument/2006/relationships/hyperlink" Target="https://drive.google.com/open?id=17sZNXZ8NHoInizCg2nCVUyyjXmzq6NEk" TargetMode="External"/><Relationship Id="rId358" Type="http://schemas.openxmlformats.org/officeDocument/2006/relationships/hyperlink" Target="https://drive.google.com/open?id=1-Pl8HzXgpZzCqLPkPsdwO1en1qynqBqq" TargetMode="External"/><Relationship Id="rId115" Type="http://schemas.openxmlformats.org/officeDocument/2006/relationships/hyperlink" Target="https://drive.google.com/open?id=1Gg_WlwPWJ8YIT4TOP0Po6lDYMfO4DSI0" TargetMode="External"/><Relationship Id="rId357" Type="http://schemas.openxmlformats.org/officeDocument/2006/relationships/hyperlink" Target="https://drive.google.com/open?id=12wN_QNcOD7Tfz2nDF5AK2xHspNt7Vtdn" TargetMode="External"/><Relationship Id="rId599" Type="http://schemas.openxmlformats.org/officeDocument/2006/relationships/hyperlink" Target="https://drive.google.com/open?id=1iEdoSKaPptGisY1F8fz7tLknfarX7wyC" TargetMode="External"/><Relationship Id="rId119" Type="http://schemas.openxmlformats.org/officeDocument/2006/relationships/hyperlink" Target="https://drive.google.com/open?id=1y0MSby_98t9sZy_BIzKoUiKxQU0iQqRo" TargetMode="External"/><Relationship Id="rId110" Type="http://schemas.openxmlformats.org/officeDocument/2006/relationships/hyperlink" Target="https://drive.google.com/open?id=14k4mSre_ico-wFKpE-gRTT-mNgq7uEir" TargetMode="External"/><Relationship Id="rId352" Type="http://schemas.openxmlformats.org/officeDocument/2006/relationships/hyperlink" Target="https://drive.google.com/open?id=1NwSQ8yBG1UtcmBDZsl9OvSzlOygQM4JL" TargetMode="External"/><Relationship Id="rId594" Type="http://schemas.openxmlformats.org/officeDocument/2006/relationships/hyperlink" Target="https://drive.google.com/open?id=1NKAfxXevTf-nvTDRgpJXrOEAaznRr1Gp" TargetMode="External"/><Relationship Id="rId351" Type="http://schemas.openxmlformats.org/officeDocument/2006/relationships/hyperlink" Target="https://drive.google.com/open?id=1hm2Y1zBoBbsOqR8bYFcG3xlS8D-kfQps" TargetMode="External"/><Relationship Id="rId593" Type="http://schemas.openxmlformats.org/officeDocument/2006/relationships/hyperlink" Target="https://drive.google.com/open?id=1aEjSi05Tv_W8w75DZvMtW-2cHE_WljIa" TargetMode="External"/><Relationship Id="rId350" Type="http://schemas.openxmlformats.org/officeDocument/2006/relationships/hyperlink" Target="https://drive.google.com/open?id=1Nrh4rWQAHj-OP-8QWVb1ySq18b6fI35j" TargetMode="External"/><Relationship Id="rId592" Type="http://schemas.openxmlformats.org/officeDocument/2006/relationships/hyperlink" Target="https://drive.google.com/open?id=10PaXVz9mYqYs1vpE9kMM46M49cH8lAzf" TargetMode="External"/><Relationship Id="rId591" Type="http://schemas.openxmlformats.org/officeDocument/2006/relationships/hyperlink" Target="https://drive.google.com/open?id=1liuwJTVuUn7VgzybTpKi258KcS9TDStE" TargetMode="External"/><Relationship Id="rId114" Type="http://schemas.openxmlformats.org/officeDocument/2006/relationships/hyperlink" Target="https://drive.google.com/open?id=1hy09FhXEOMZOOo3djAYQRqwxTN21ipio" TargetMode="External"/><Relationship Id="rId356" Type="http://schemas.openxmlformats.org/officeDocument/2006/relationships/hyperlink" Target="https://drive.google.com/open?id=1tCTWtqiwdYL9ciWhbTmITzYuc3H0pzJd" TargetMode="External"/><Relationship Id="rId598" Type="http://schemas.openxmlformats.org/officeDocument/2006/relationships/hyperlink" Target="https://drive.google.com/open?id=1d1NiC3M0DtEZAgRJoY_L3T0JWIBYynhA" TargetMode="External"/><Relationship Id="rId113" Type="http://schemas.openxmlformats.org/officeDocument/2006/relationships/hyperlink" Target="https://drive.google.com/open?id=1R9oJNRJH-8mgBqaZ4imW3j-z5ZeqVb3m" TargetMode="External"/><Relationship Id="rId355" Type="http://schemas.openxmlformats.org/officeDocument/2006/relationships/hyperlink" Target="https://drive.google.com/open?id=13tXJElgcQopiD6aCTUvJvdToJ9hZPeYv" TargetMode="External"/><Relationship Id="rId597" Type="http://schemas.openxmlformats.org/officeDocument/2006/relationships/hyperlink" Target="https://drive.google.com/open?id=1kYhApGQlCL3lyV_utUcrNo-REfzgnnlm" TargetMode="External"/><Relationship Id="rId112" Type="http://schemas.openxmlformats.org/officeDocument/2006/relationships/hyperlink" Target="https://drive.google.com/open?id=15TrgKoDOBy-J6BCdlFO-MBMxwbpR1WCm" TargetMode="External"/><Relationship Id="rId354" Type="http://schemas.openxmlformats.org/officeDocument/2006/relationships/hyperlink" Target="https://drive.google.com/open?id=1KdeD9XHTqe-WYleLWBcr0dWxUDwCvX-B" TargetMode="External"/><Relationship Id="rId596" Type="http://schemas.openxmlformats.org/officeDocument/2006/relationships/hyperlink" Target="https://drive.google.com/open?id=14kXDA-g0eUFZZWVxXVEaeqy0S7j7RPNZ" TargetMode="External"/><Relationship Id="rId111" Type="http://schemas.openxmlformats.org/officeDocument/2006/relationships/hyperlink" Target="https://drive.google.com/open?id=1lQuuwbmZUNYKcdMpk2wAVpB80C9ahUNh" TargetMode="External"/><Relationship Id="rId353" Type="http://schemas.openxmlformats.org/officeDocument/2006/relationships/hyperlink" Target="https://drive.google.com/open?id=1rdqlyRsXN8ibALjS2HMz8eoJaxJnfJgn" TargetMode="External"/><Relationship Id="rId595" Type="http://schemas.openxmlformats.org/officeDocument/2006/relationships/hyperlink" Target="https://drive.google.com/open?id=1iitb7lJTOU2ZgKMrqm2mLLtEmTT3wSGZ" TargetMode="External"/><Relationship Id="rId305" Type="http://schemas.openxmlformats.org/officeDocument/2006/relationships/hyperlink" Target="https://drive.google.com/open?id=1tYugDrMAjy8OZWH_PmBVqi5kM0pSr4Vo" TargetMode="External"/><Relationship Id="rId547" Type="http://schemas.openxmlformats.org/officeDocument/2006/relationships/hyperlink" Target="https://drive.google.com/open?id=15AFKs-louKJt25O4Ldap4Z1UuRvLk7n-" TargetMode="External"/><Relationship Id="rId789" Type="http://schemas.openxmlformats.org/officeDocument/2006/relationships/hyperlink" Target="https://drive.google.com/open?id=16mC6Rs0ZUDU0HwEyRg-IUd4mXUDTUMem" TargetMode="External"/><Relationship Id="rId304" Type="http://schemas.openxmlformats.org/officeDocument/2006/relationships/hyperlink" Target="https://drive.google.com/open?id=1knvtoURgTjRZ4nejt-cAufO4GLd9PPlJ" TargetMode="External"/><Relationship Id="rId546" Type="http://schemas.openxmlformats.org/officeDocument/2006/relationships/hyperlink" Target="https://drive.google.com/open?id=1t1IgrqK9I1b1DHQuMa8v_sSddxK5es0d" TargetMode="External"/><Relationship Id="rId788" Type="http://schemas.openxmlformats.org/officeDocument/2006/relationships/hyperlink" Target="https://drive.google.com/open?id=1mllAFAXkN3NSZVDCPKaZG8fS5PFg4Dnb" TargetMode="External"/><Relationship Id="rId303" Type="http://schemas.openxmlformats.org/officeDocument/2006/relationships/hyperlink" Target="https://drive.google.com/open?id=1tzw6kST7EzTERkjmKtdhLKuLTy1p2rer" TargetMode="External"/><Relationship Id="rId545" Type="http://schemas.openxmlformats.org/officeDocument/2006/relationships/hyperlink" Target="https://drive.google.com/open?id=1hA-1H4zUq_DTutTA4oCj3CSG3wIn3yJn" TargetMode="External"/><Relationship Id="rId787" Type="http://schemas.openxmlformats.org/officeDocument/2006/relationships/hyperlink" Target="https://drive.google.com/open?id=10R6qSBcdvAX0hL-zzckMnp9wXNpkEI_v" TargetMode="External"/><Relationship Id="rId302" Type="http://schemas.openxmlformats.org/officeDocument/2006/relationships/hyperlink" Target="https://drive.google.com/open?id=1c9RZFuC1eqpm8p1GYZw_yYV7gSzbq-jZ" TargetMode="External"/><Relationship Id="rId544" Type="http://schemas.openxmlformats.org/officeDocument/2006/relationships/hyperlink" Target="https://drive.google.com/open?id=17zBSZqY6z6WBI224MvcrVTxDZdP5oiU9" TargetMode="External"/><Relationship Id="rId786" Type="http://schemas.openxmlformats.org/officeDocument/2006/relationships/hyperlink" Target="https://drive.google.com/open?id=1k5ti-N2HVfVZTdqIZIgyQ-n9yyB0hmDP" TargetMode="External"/><Relationship Id="rId309" Type="http://schemas.openxmlformats.org/officeDocument/2006/relationships/hyperlink" Target="https://drive.google.com/open?id=1LdkD8jAA9FUiK-1MRDhZu94-FlPBvJEC" TargetMode="External"/><Relationship Id="rId308" Type="http://schemas.openxmlformats.org/officeDocument/2006/relationships/hyperlink" Target="https://drive.google.com/open?id=1-g6xZsRpanGJ4eqzdG2yn-pBt953cAlP" TargetMode="External"/><Relationship Id="rId307" Type="http://schemas.openxmlformats.org/officeDocument/2006/relationships/hyperlink" Target="https://drive.google.com/open?id=1V5Ghaqpay8Bj7cNNpxGCiOqJwwZqRi4W" TargetMode="External"/><Relationship Id="rId549" Type="http://schemas.openxmlformats.org/officeDocument/2006/relationships/hyperlink" Target="https://drive.google.com/open?id=1MNCPsTlXRPQYHCfRZlub7Z1eHxhrEL5M" TargetMode="External"/><Relationship Id="rId306" Type="http://schemas.openxmlformats.org/officeDocument/2006/relationships/hyperlink" Target="https://drive.google.com/open?id=17efR9B8AXoXJo5wDcSxlckQsPA_WkPkK" TargetMode="External"/><Relationship Id="rId548" Type="http://schemas.openxmlformats.org/officeDocument/2006/relationships/hyperlink" Target="https://drive.google.com/open?id=1dY8JSeAsY-P__FH5zFoFD5oVCnmV--1k" TargetMode="External"/><Relationship Id="rId781" Type="http://schemas.openxmlformats.org/officeDocument/2006/relationships/hyperlink" Target="https://drive.google.com/open?id=11IxQjpgZuWvzrErTuT7D-6B76I3u7L2A" TargetMode="External"/><Relationship Id="rId780" Type="http://schemas.openxmlformats.org/officeDocument/2006/relationships/hyperlink" Target="https://drive.google.com/open?id=1qYWT1MfpoPptRTsADYjgdGHc5RiyzgkA" TargetMode="External"/><Relationship Id="rId301" Type="http://schemas.openxmlformats.org/officeDocument/2006/relationships/hyperlink" Target="https://drive.google.com/open?id=1BJfRvXG-hLGCrgfThvBtAxC3XBIeaLZU" TargetMode="External"/><Relationship Id="rId543" Type="http://schemas.openxmlformats.org/officeDocument/2006/relationships/hyperlink" Target="https://drive.google.com/open?id=14SvNfh80CtMwxuBFvdi0lH-CIkUzDJPw" TargetMode="External"/><Relationship Id="rId785" Type="http://schemas.openxmlformats.org/officeDocument/2006/relationships/hyperlink" Target="https://drive.google.com/open?id=1ZV8ZuFKzP8_mWEF-O2kjXtxs9CMuY5-q" TargetMode="External"/><Relationship Id="rId300" Type="http://schemas.openxmlformats.org/officeDocument/2006/relationships/hyperlink" Target="https://drive.google.com/open?id=19JP91PwjwXiSGpILfF5A89wytYGzkd28" TargetMode="External"/><Relationship Id="rId542" Type="http://schemas.openxmlformats.org/officeDocument/2006/relationships/hyperlink" Target="https://drive.google.com/open?id=1VpSCCp8IPVam7UPaeO-PaAMF5oMYWHD5" TargetMode="External"/><Relationship Id="rId784" Type="http://schemas.openxmlformats.org/officeDocument/2006/relationships/hyperlink" Target="https://drive.google.com/open?id=1PbIuUihB15bSisEPuna3QP0gQcUGmz5T" TargetMode="External"/><Relationship Id="rId541" Type="http://schemas.openxmlformats.org/officeDocument/2006/relationships/hyperlink" Target="https://drive.google.com/open?id=1B5HkIclXIMQrHJJzMgAxym3e5GMj-VfT" TargetMode="External"/><Relationship Id="rId783" Type="http://schemas.openxmlformats.org/officeDocument/2006/relationships/hyperlink" Target="https://drive.google.com/open?id=1JCddp1ENsuJnm6Pvr8s18XoGC90Pxxuy" TargetMode="External"/><Relationship Id="rId540" Type="http://schemas.openxmlformats.org/officeDocument/2006/relationships/hyperlink" Target="https://drive.google.com/open?id=1g4c1ESrYxhgm1InyrEISpYYTlKgjw76w" TargetMode="External"/><Relationship Id="rId782" Type="http://schemas.openxmlformats.org/officeDocument/2006/relationships/hyperlink" Target="https://drive.google.com/open?id=1sT5ybZl_QDqInpXk4NZvG6l3JVfYvg3H" TargetMode="External"/><Relationship Id="rId536" Type="http://schemas.openxmlformats.org/officeDocument/2006/relationships/hyperlink" Target="https://drive.google.com/open?id=1J8NiBJjyKAHKo8xRawDBZHywqmqD1hh4" TargetMode="External"/><Relationship Id="rId778" Type="http://schemas.openxmlformats.org/officeDocument/2006/relationships/hyperlink" Target="https://drive.google.com/open?id=1wx_Y9Ve_fxGMRGaWB_IX7q5y2Gxjn76I" TargetMode="External"/><Relationship Id="rId535" Type="http://schemas.openxmlformats.org/officeDocument/2006/relationships/hyperlink" Target="https://drive.google.com/open?id=1QnVr_0uuo58g9vjG_mf20aVmpKwI09Xt" TargetMode="External"/><Relationship Id="rId777" Type="http://schemas.openxmlformats.org/officeDocument/2006/relationships/hyperlink" Target="https://drive.google.com/open?id=1RbJmDmEiLpDYTd_6d8cjhrYjdnYCpliD" TargetMode="External"/><Relationship Id="rId534" Type="http://schemas.openxmlformats.org/officeDocument/2006/relationships/hyperlink" Target="https://drive.google.com/open?id=1mf5wMgGoevAdu43H9qpgA0etJLXFSjh-" TargetMode="External"/><Relationship Id="rId776" Type="http://schemas.openxmlformats.org/officeDocument/2006/relationships/hyperlink" Target="https://drive.google.com/open?id=1D3vPcnUNoRXZyZEIL9GG9Du21ezMvC_b" TargetMode="External"/><Relationship Id="rId533" Type="http://schemas.openxmlformats.org/officeDocument/2006/relationships/hyperlink" Target="https://drive.google.com/open?id=1YljIreONljXMg9W_WiOE2CNj_LPbq9-w" TargetMode="External"/><Relationship Id="rId775" Type="http://schemas.openxmlformats.org/officeDocument/2006/relationships/hyperlink" Target="https://drive.google.com/open?id=1aogHOO2Pp2w3taUZ7YGcRhiJlua-zNDV" TargetMode="External"/><Relationship Id="rId539" Type="http://schemas.openxmlformats.org/officeDocument/2006/relationships/hyperlink" Target="https://drive.google.com/open?id=1Z9HQfAWkl2Wxieu1w61bb6Jk0Cbo_w12" TargetMode="External"/><Relationship Id="rId538" Type="http://schemas.openxmlformats.org/officeDocument/2006/relationships/hyperlink" Target="https://drive.google.com/open?id=1aY6bpLXs2JM8OGbBcqPqrYS-93TMIR_P" TargetMode="External"/><Relationship Id="rId537" Type="http://schemas.openxmlformats.org/officeDocument/2006/relationships/hyperlink" Target="https://drive.google.com/open?id=10-FWSIAs0xiYvnzolmo693x7eLHn-SSR" TargetMode="External"/><Relationship Id="rId779" Type="http://schemas.openxmlformats.org/officeDocument/2006/relationships/hyperlink" Target="https://drive.google.com/open?id=1u3hE1GGSTLKeXI4fCKMy2_7Ob6OiA_T_" TargetMode="External"/><Relationship Id="rId770" Type="http://schemas.openxmlformats.org/officeDocument/2006/relationships/hyperlink" Target="https://drive.google.com/open?id=1qQ32HMGSm30Hzw6v1iYSX_TDA4cm-R1M" TargetMode="External"/><Relationship Id="rId532" Type="http://schemas.openxmlformats.org/officeDocument/2006/relationships/hyperlink" Target="https://drive.google.com/open?id=1-neC4nUyxM90vNZutY_ANe3Rwaur0qa7" TargetMode="External"/><Relationship Id="rId774" Type="http://schemas.openxmlformats.org/officeDocument/2006/relationships/hyperlink" Target="https://drive.google.com/open?id=1SZ905G-LCQkii1f0mW0vYy_sAZWXEzmo" TargetMode="External"/><Relationship Id="rId531" Type="http://schemas.openxmlformats.org/officeDocument/2006/relationships/hyperlink" Target="https://drive.google.com/open?id=14aYHfH3gFT8nrc3A4ylYP5MAPJxPIHDE" TargetMode="External"/><Relationship Id="rId773" Type="http://schemas.openxmlformats.org/officeDocument/2006/relationships/hyperlink" Target="https://drive.google.com/open?id=1cSIfqQQE6rPg5Ht5tIl_V0THCfqLJ3_m" TargetMode="External"/><Relationship Id="rId530" Type="http://schemas.openxmlformats.org/officeDocument/2006/relationships/hyperlink" Target="https://drive.google.com/open?id=14iCaBTxS2N5WUj542NdZLoSRoVaPzVgZ" TargetMode="External"/><Relationship Id="rId772" Type="http://schemas.openxmlformats.org/officeDocument/2006/relationships/hyperlink" Target="https://drive.google.com/open?id=1HvrSVbAzpAcvrf2129ti265tsWZlkGZW" TargetMode="External"/><Relationship Id="rId771" Type="http://schemas.openxmlformats.org/officeDocument/2006/relationships/hyperlink" Target="https://drive.google.com/open?id=1Cb8Zla2DIyyXx6MBSH8A_UpOKCXpGA2_" TargetMode="External"/><Relationship Id="rId327" Type="http://schemas.openxmlformats.org/officeDocument/2006/relationships/hyperlink" Target="https://drive.google.com/open?id=1Mdl-vHXTAY8Roxg5Y5BTEvClrEgTjPFW" TargetMode="External"/><Relationship Id="rId569" Type="http://schemas.openxmlformats.org/officeDocument/2006/relationships/hyperlink" Target="https://drive.google.com/open?id=1qtVGUfeRUn7YBOURYnB0ye6U5YBHtzk7" TargetMode="External"/><Relationship Id="rId326" Type="http://schemas.openxmlformats.org/officeDocument/2006/relationships/hyperlink" Target="https://drive.google.com/open?id=1cuJx_uJXj9ZDpgiQ7Ms8P2jX0kggv2Ex" TargetMode="External"/><Relationship Id="rId568" Type="http://schemas.openxmlformats.org/officeDocument/2006/relationships/hyperlink" Target="https://drive.google.com/open?id=1wS0SP3svPNMOeDNhwyDgbrGZEfYtDGrB" TargetMode="External"/><Relationship Id="rId325" Type="http://schemas.openxmlformats.org/officeDocument/2006/relationships/hyperlink" Target="https://drive.google.com/open?id=1dVKwkq2NAAigHMy34LqKXWaCZLdCxwpl" TargetMode="External"/><Relationship Id="rId567" Type="http://schemas.openxmlformats.org/officeDocument/2006/relationships/hyperlink" Target="https://drive.google.com/open?id=1tY2MngaunJbYtZyyQGiGDVWAHE2nnmkj" TargetMode="External"/><Relationship Id="rId324" Type="http://schemas.openxmlformats.org/officeDocument/2006/relationships/hyperlink" Target="https://drive.google.com/open?id=1wAOANjW5p-W4PUAGRQAcDmbfFZ8QgJWK" TargetMode="External"/><Relationship Id="rId566" Type="http://schemas.openxmlformats.org/officeDocument/2006/relationships/hyperlink" Target="https://drive.google.com/open?id=1Np8Kp7RJFmMENgjICoVuAgv3ds6MT-Up" TargetMode="External"/><Relationship Id="rId329" Type="http://schemas.openxmlformats.org/officeDocument/2006/relationships/hyperlink" Target="https://drive.google.com/open?id=1NHr7gqYkIko-Vdjp5ca-5uG78g8q4M7Q" TargetMode="External"/><Relationship Id="rId328" Type="http://schemas.openxmlformats.org/officeDocument/2006/relationships/hyperlink" Target="https://drive.google.com/open?id=1kyX0PXkZRlnekTTm9HbXe4BFIIijHZyS" TargetMode="External"/><Relationship Id="rId561" Type="http://schemas.openxmlformats.org/officeDocument/2006/relationships/hyperlink" Target="https://drive.google.com/open?id=15m1ntJsLmG7qa0rz_SVc5tlRTBRwjOXa" TargetMode="External"/><Relationship Id="rId560" Type="http://schemas.openxmlformats.org/officeDocument/2006/relationships/hyperlink" Target="https://drive.google.com/open?id=1_jd-OUM8VMj-NomLEB9pFkB0Qo1A2JGE" TargetMode="External"/><Relationship Id="rId323" Type="http://schemas.openxmlformats.org/officeDocument/2006/relationships/hyperlink" Target="https://drive.google.com/open?id=1fXpBQNBuiCHsgv3jV6EpBxzbacdLewkl" TargetMode="External"/><Relationship Id="rId565" Type="http://schemas.openxmlformats.org/officeDocument/2006/relationships/hyperlink" Target="https://drive.google.com/open?id=1r9_3c0Ba-jsK2K0GIls3DnmVSEFiuu2r" TargetMode="External"/><Relationship Id="rId322" Type="http://schemas.openxmlformats.org/officeDocument/2006/relationships/hyperlink" Target="https://drive.google.com/open?id=1It2vtA3HNgwEJHl_Vysfl2n4WMudiDBI" TargetMode="External"/><Relationship Id="rId564" Type="http://schemas.openxmlformats.org/officeDocument/2006/relationships/hyperlink" Target="https://drive.google.com/open?id=18kQ5S46odVV-A09i0Zxv42uZkNNnnkJm" TargetMode="External"/><Relationship Id="rId321" Type="http://schemas.openxmlformats.org/officeDocument/2006/relationships/hyperlink" Target="https://drive.google.com/open?id=1wfTnfrTK77urUIiHV5zPGXOlcPZbKFbo" TargetMode="External"/><Relationship Id="rId563" Type="http://schemas.openxmlformats.org/officeDocument/2006/relationships/hyperlink" Target="https://drive.google.com/open?id=1pTpiQJ1lpWXionJm-PqB-HrYWO2jucGL" TargetMode="External"/><Relationship Id="rId320" Type="http://schemas.openxmlformats.org/officeDocument/2006/relationships/hyperlink" Target="https://drive.google.com/open?id=1vZ-cYT0000aG9ZcZ65g1fRIwEWMkfJvX" TargetMode="External"/><Relationship Id="rId562" Type="http://schemas.openxmlformats.org/officeDocument/2006/relationships/hyperlink" Target="https://drive.google.com/open?id=1brcKEVm1IC8WyYkGedSyKrUvZ-0-NglZ" TargetMode="External"/><Relationship Id="rId316" Type="http://schemas.openxmlformats.org/officeDocument/2006/relationships/hyperlink" Target="https://drive.google.com/open?id=1-a3NpjouM8giNFYECvbhiAs9-L_9XSvR" TargetMode="External"/><Relationship Id="rId558" Type="http://schemas.openxmlformats.org/officeDocument/2006/relationships/hyperlink" Target="https://drive.google.com/open?id=1CF4MZAJSfH2ABCqpQRm6tu8E4WDK7ODW" TargetMode="External"/><Relationship Id="rId315" Type="http://schemas.openxmlformats.org/officeDocument/2006/relationships/hyperlink" Target="https://drive.google.com/open?id=1A7HO8ks5i4dGRIXZxEl4m-Ws9AQ5cwNS" TargetMode="External"/><Relationship Id="rId557" Type="http://schemas.openxmlformats.org/officeDocument/2006/relationships/hyperlink" Target="https://drive.google.com/open?id=1twNEdulyKUzisZzjTaD4Ej71XmV4XS5C" TargetMode="External"/><Relationship Id="rId799" Type="http://schemas.openxmlformats.org/officeDocument/2006/relationships/hyperlink" Target="https://drive.google.com/open?id=1h6O3LXY5JEAZIV-bxhbdXDpM8HIb0sxI" TargetMode="External"/><Relationship Id="rId314" Type="http://schemas.openxmlformats.org/officeDocument/2006/relationships/hyperlink" Target="https://drive.google.com/open?id=1f1oPuHf4sa_50rO1ugW_8ZiV0sISA1SJ" TargetMode="External"/><Relationship Id="rId556" Type="http://schemas.openxmlformats.org/officeDocument/2006/relationships/hyperlink" Target="https://drive.google.com/open?id=1Os9TmwnjAyb2FItqXWj1iJ30KVgpwGaJ" TargetMode="External"/><Relationship Id="rId798" Type="http://schemas.openxmlformats.org/officeDocument/2006/relationships/hyperlink" Target="https://drive.google.com/open?id=1FAwz5zASo8KL5Tv545oH0lHNqvq_A0wl" TargetMode="External"/><Relationship Id="rId313" Type="http://schemas.openxmlformats.org/officeDocument/2006/relationships/hyperlink" Target="https://drive.google.com/open?id=19Hyr7C3_c1RsR_Sx74QrkQ79RQI4vsYZ" TargetMode="External"/><Relationship Id="rId555" Type="http://schemas.openxmlformats.org/officeDocument/2006/relationships/hyperlink" Target="https://drive.google.com/open?id=1DQhXQZrXVz6MBxgvp_2ozrqwW72ubakU" TargetMode="External"/><Relationship Id="rId797" Type="http://schemas.openxmlformats.org/officeDocument/2006/relationships/hyperlink" Target="https://drive.google.com/open?id=1B2skBkvuofZ9TGPYNzd72O7vp0sLps4t" TargetMode="External"/><Relationship Id="rId319" Type="http://schemas.openxmlformats.org/officeDocument/2006/relationships/hyperlink" Target="https://drive.google.com/open?id=1TQ_wyvj9AmKetQMiKWxnlaRweY4Fv-cu" TargetMode="External"/><Relationship Id="rId318" Type="http://schemas.openxmlformats.org/officeDocument/2006/relationships/hyperlink" Target="https://drive.google.com/open?id=1zZCKP-AEGcIAGM0_d8vhzn4a1BCSJtYw" TargetMode="External"/><Relationship Id="rId317" Type="http://schemas.openxmlformats.org/officeDocument/2006/relationships/hyperlink" Target="https://drive.google.com/open?id=1ArtYlm4ZxwRbJyBqfKX9gpe0CrPzFum8" TargetMode="External"/><Relationship Id="rId559" Type="http://schemas.openxmlformats.org/officeDocument/2006/relationships/hyperlink" Target="https://drive.google.com/open?id=1UEErqHDhDt9AOOvR4C0atmzGtlt6hTAV" TargetMode="External"/><Relationship Id="rId550" Type="http://schemas.openxmlformats.org/officeDocument/2006/relationships/hyperlink" Target="https://drive.google.com/open?id=1H-uckVVtL_0B_7K8J5rDAfjzCYDA3Tqq" TargetMode="External"/><Relationship Id="rId792" Type="http://schemas.openxmlformats.org/officeDocument/2006/relationships/hyperlink" Target="https://drive.google.com/open?id=17vfZMqs_dtt-yly_8GS0q5s0b40yt_br" TargetMode="External"/><Relationship Id="rId791" Type="http://schemas.openxmlformats.org/officeDocument/2006/relationships/hyperlink" Target="https://drive.google.com/open?id=1Ty_y5bXJgCCeUsaNAB1qdKswjX_TNy0r" TargetMode="External"/><Relationship Id="rId790" Type="http://schemas.openxmlformats.org/officeDocument/2006/relationships/hyperlink" Target="https://drive.google.com/open?id=1_V2grQluNGZYwdCPLBxYM4DUNPUA0Wgo" TargetMode="External"/><Relationship Id="rId312" Type="http://schemas.openxmlformats.org/officeDocument/2006/relationships/hyperlink" Target="https://drive.google.com/open?id=1ic_6Mh34h5JNiU23nS-kY1xMZliKWbqX" TargetMode="External"/><Relationship Id="rId554" Type="http://schemas.openxmlformats.org/officeDocument/2006/relationships/hyperlink" Target="https://drive.google.com/open?id=1J_1FHT8zOvTE_w2HtqPL0Q9ocplPD9DY" TargetMode="External"/><Relationship Id="rId796" Type="http://schemas.openxmlformats.org/officeDocument/2006/relationships/hyperlink" Target="https://drive.google.com/open?id=1xTEoZw_yjpb9-JP6mLC4XyHp1pWhFBF6" TargetMode="External"/><Relationship Id="rId311" Type="http://schemas.openxmlformats.org/officeDocument/2006/relationships/hyperlink" Target="https://drive.google.com/open?id=1WwJkQ80xR-KiEv37n78hPk8fsr2djj71" TargetMode="External"/><Relationship Id="rId553" Type="http://schemas.openxmlformats.org/officeDocument/2006/relationships/hyperlink" Target="https://drive.google.com/open?id=161gx9DMp_XM07T46_p_bOnu8QKbA8GXV" TargetMode="External"/><Relationship Id="rId795" Type="http://schemas.openxmlformats.org/officeDocument/2006/relationships/hyperlink" Target="https://drive.google.com/open?id=15-ZphAOpgVqj3Bn7oKc1KPxkTqRd7D6C" TargetMode="External"/><Relationship Id="rId310" Type="http://schemas.openxmlformats.org/officeDocument/2006/relationships/hyperlink" Target="https://drive.google.com/open?id=1OWDG6HKeCirm7_5dtOhiwFcc8eyVyGaj" TargetMode="External"/><Relationship Id="rId552" Type="http://schemas.openxmlformats.org/officeDocument/2006/relationships/hyperlink" Target="https://drive.google.com/open?id=1fTRXLmXjOlUH5b4x02tDoZRVOSIpWluK" TargetMode="External"/><Relationship Id="rId794" Type="http://schemas.openxmlformats.org/officeDocument/2006/relationships/hyperlink" Target="https://drive.google.com/open?id=1YLne-XDZUDvNkH9Sehu7nhw0-c7dKpaR" TargetMode="External"/><Relationship Id="rId551" Type="http://schemas.openxmlformats.org/officeDocument/2006/relationships/hyperlink" Target="https://drive.google.com/open?id=1GL8w7K63RQnFr3JxGQspUzP5cJmMkwTh" TargetMode="External"/><Relationship Id="rId793" Type="http://schemas.openxmlformats.org/officeDocument/2006/relationships/hyperlink" Target="https://drive.google.com/open?id=1WmvokN_nBnNP8DY7qmvX6bkh_-uakqw7" TargetMode="External"/><Relationship Id="rId297" Type="http://schemas.openxmlformats.org/officeDocument/2006/relationships/hyperlink" Target="https://drive.google.com/open?id=1afRxFhljB7TUJKaNjGJGS-LrIIX1S9lB" TargetMode="External"/><Relationship Id="rId296" Type="http://schemas.openxmlformats.org/officeDocument/2006/relationships/hyperlink" Target="https://drive.google.com/open?id=1Y2uG_nIcX7c3Bdv-xttNCXaiSJXL6QZK" TargetMode="External"/><Relationship Id="rId295" Type="http://schemas.openxmlformats.org/officeDocument/2006/relationships/hyperlink" Target="https://drive.google.com/open?id=1JnypRwoiG8cMgDaWqrmYvuCZu9fCNy1Z" TargetMode="External"/><Relationship Id="rId294" Type="http://schemas.openxmlformats.org/officeDocument/2006/relationships/hyperlink" Target="https://drive.google.com/open?id=1Ly69HyRZx_nPw-pVm2iaBb0QoJRb_rm6" TargetMode="External"/><Relationship Id="rId299" Type="http://schemas.openxmlformats.org/officeDocument/2006/relationships/hyperlink" Target="https://drive.google.com/open?id=1gDBYKREqI939ufGuKHcQ668i1Fzbviuw" TargetMode="External"/><Relationship Id="rId298" Type="http://schemas.openxmlformats.org/officeDocument/2006/relationships/hyperlink" Target="https://drive.google.com/open?id=11aFVvKudkLQyqCxhMlz1U9PyZkYpNuGh" TargetMode="External"/><Relationship Id="rId271" Type="http://schemas.openxmlformats.org/officeDocument/2006/relationships/hyperlink" Target="https://drive.google.com/open?id=1UozAzHm3aVysYdLSYX2fzXjyFiiuPnAD" TargetMode="External"/><Relationship Id="rId270" Type="http://schemas.openxmlformats.org/officeDocument/2006/relationships/hyperlink" Target="https://drive.google.com/open?id=1QXDslIhjULTSP2HWdh2--W9eA5s9oWdk" TargetMode="External"/><Relationship Id="rId269" Type="http://schemas.openxmlformats.org/officeDocument/2006/relationships/hyperlink" Target="https://drive.google.com/open?id=12vfB2_1xLS8H3l_S-TMkmqU3dZoCtIYq" TargetMode="External"/><Relationship Id="rId264" Type="http://schemas.openxmlformats.org/officeDocument/2006/relationships/hyperlink" Target="https://drive.google.com/open?id=1lpkiYLfzAtimtBebul9swdIL75yrkM34" TargetMode="External"/><Relationship Id="rId263" Type="http://schemas.openxmlformats.org/officeDocument/2006/relationships/hyperlink" Target="https://drive.google.com/open?id=19giKCnEJZsd27wnjIkiqRM8MzXUiz9nx" TargetMode="External"/><Relationship Id="rId262" Type="http://schemas.openxmlformats.org/officeDocument/2006/relationships/hyperlink" Target="https://drive.google.com/open?id=1TImS4yQi0bPNWP_IFksCM0pnJ_2i45GD" TargetMode="External"/><Relationship Id="rId261" Type="http://schemas.openxmlformats.org/officeDocument/2006/relationships/hyperlink" Target="https://drive.google.com/open?id=1eQGwgwax4RGsIjBebcdhYQz_M-Ev6B-B" TargetMode="External"/><Relationship Id="rId268" Type="http://schemas.openxmlformats.org/officeDocument/2006/relationships/hyperlink" Target="https://drive.google.com/open?id=1xGKgmacakSIIewZBJBj_T3u9H7-rfUA4" TargetMode="External"/><Relationship Id="rId267" Type="http://schemas.openxmlformats.org/officeDocument/2006/relationships/hyperlink" Target="https://drive.google.com/open?id=1tcd-FDU7C45PoLm86jYIqmmIlZKwwDTz" TargetMode="External"/><Relationship Id="rId266" Type="http://schemas.openxmlformats.org/officeDocument/2006/relationships/hyperlink" Target="https://drive.google.com/open?id=1Q5vQNykJXwwKQO0DsqpQy9YNkEaxXxHw" TargetMode="External"/><Relationship Id="rId265" Type="http://schemas.openxmlformats.org/officeDocument/2006/relationships/hyperlink" Target="https://drive.google.com/open?id=1kbAG2gplgrcDhkkIXCVxQbUXpNxPHjT-" TargetMode="External"/><Relationship Id="rId260" Type="http://schemas.openxmlformats.org/officeDocument/2006/relationships/hyperlink" Target="https://drive.google.com/open?id=1VVTi6aL1ae4WOvoC36kBZaDgWMfh2C0k" TargetMode="External"/><Relationship Id="rId259" Type="http://schemas.openxmlformats.org/officeDocument/2006/relationships/hyperlink" Target="https://drive.google.com/open?id=1iqE2gCDQmqDSs2scHmhDAJBZR5GlP10l" TargetMode="External"/><Relationship Id="rId258" Type="http://schemas.openxmlformats.org/officeDocument/2006/relationships/hyperlink" Target="https://drive.google.com/open?id=1AzV6rXRLlLnXWAC76TcVxrfZGqPvfFCa" TargetMode="External"/><Relationship Id="rId253" Type="http://schemas.openxmlformats.org/officeDocument/2006/relationships/hyperlink" Target="https://drive.google.com/open?id=1rhM3Q6gtd7ZQcKUtfP2hpMxCJXkmqxdJ" TargetMode="External"/><Relationship Id="rId495" Type="http://schemas.openxmlformats.org/officeDocument/2006/relationships/hyperlink" Target="https://drive.google.com/open?id=1uwbJTOJVHjUjZbKMHKFYmsiuSiqSvVDx" TargetMode="External"/><Relationship Id="rId252" Type="http://schemas.openxmlformats.org/officeDocument/2006/relationships/hyperlink" Target="https://drive.google.com/open?id=1uFkAXb85DmJiCp9cUxqXePieYcppyZAh" TargetMode="External"/><Relationship Id="rId494" Type="http://schemas.openxmlformats.org/officeDocument/2006/relationships/hyperlink" Target="https://drive.google.com/open?id=1KCahMMseoR-K9fgmG4kT77q9xh_O52Vw" TargetMode="External"/><Relationship Id="rId251" Type="http://schemas.openxmlformats.org/officeDocument/2006/relationships/hyperlink" Target="https://drive.google.com/open?id=1RxwpN_LFkxW00yvz7S-6ptSPUxJnbiwQ" TargetMode="External"/><Relationship Id="rId493" Type="http://schemas.openxmlformats.org/officeDocument/2006/relationships/hyperlink" Target="https://drive.google.com/open?id=182FBadN0MA2-EvXsP6AfB1rnzEfgtU9w" TargetMode="External"/><Relationship Id="rId250" Type="http://schemas.openxmlformats.org/officeDocument/2006/relationships/hyperlink" Target="https://drive.google.com/open?id=1ZTS77otmMfdEmhVrYQmM9fZZlwMSr6MX" TargetMode="External"/><Relationship Id="rId492" Type="http://schemas.openxmlformats.org/officeDocument/2006/relationships/hyperlink" Target="https://drive.google.com/open?id=1ICkcLdGLvX2rlLAzCtC-QXSfcyCkwvk8" TargetMode="External"/><Relationship Id="rId257" Type="http://schemas.openxmlformats.org/officeDocument/2006/relationships/hyperlink" Target="https://drive.google.com/open?id=1_fY7ZpBF7KGXOqA8Jv0JMQoB87xXpBYr" TargetMode="External"/><Relationship Id="rId499" Type="http://schemas.openxmlformats.org/officeDocument/2006/relationships/hyperlink" Target="https://drive.google.com/open?id=1Xvb-txbtHlAo4QZix18XJ2fY1U3Eadqm" TargetMode="External"/><Relationship Id="rId256" Type="http://schemas.openxmlformats.org/officeDocument/2006/relationships/hyperlink" Target="https://drive.google.com/open?id=1rVuI0F195gdgcBQtVSBEO0pICZtIyh7R" TargetMode="External"/><Relationship Id="rId498" Type="http://schemas.openxmlformats.org/officeDocument/2006/relationships/hyperlink" Target="https://drive.google.com/open?id=1yKMiDnHnANOB8nhejcOsAuiFXTyIIlw_" TargetMode="External"/><Relationship Id="rId255" Type="http://schemas.openxmlformats.org/officeDocument/2006/relationships/hyperlink" Target="https://drive.google.com/open?id=1zOUyqSZJFZt9nzbx4QKtselCIwe_U3ap" TargetMode="External"/><Relationship Id="rId497" Type="http://schemas.openxmlformats.org/officeDocument/2006/relationships/hyperlink" Target="https://drive.google.com/open?id=1y77yJ_4odvD0TZ1wb7hVs9fd_0PUXzt_" TargetMode="External"/><Relationship Id="rId254" Type="http://schemas.openxmlformats.org/officeDocument/2006/relationships/hyperlink" Target="https://drive.google.com/open?id=1_xBHo-vbb8byVTQtBWBbkLS0vTNNYdX_" TargetMode="External"/><Relationship Id="rId496" Type="http://schemas.openxmlformats.org/officeDocument/2006/relationships/hyperlink" Target="https://drive.google.com/open?id=156z26RbINptfoAth6DbTGHei42fINVLS" TargetMode="External"/><Relationship Id="rId293" Type="http://schemas.openxmlformats.org/officeDocument/2006/relationships/hyperlink" Target="https://drive.google.com/open?id=1KFUJ7n3DdZiSYjDpl9y3JfooyDvNj11g" TargetMode="External"/><Relationship Id="rId292" Type="http://schemas.openxmlformats.org/officeDocument/2006/relationships/hyperlink" Target="https://drive.google.com/open?id=13kQ13qlbNGrSYNQm6O-Q2WBsfWvkg8ML" TargetMode="External"/><Relationship Id="rId291" Type="http://schemas.openxmlformats.org/officeDocument/2006/relationships/hyperlink" Target="https://drive.google.com/open?id=1HH-dVAOpjvWn1TiCKsIPNY8NApcrEufz" TargetMode="External"/><Relationship Id="rId290" Type="http://schemas.openxmlformats.org/officeDocument/2006/relationships/hyperlink" Target="https://drive.google.com/open?id=1d01wXsslvhoEwM1PxnSQodUQib9ERu-U" TargetMode="External"/><Relationship Id="rId286" Type="http://schemas.openxmlformats.org/officeDocument/2006/relationships/hyperlink" Target="https://drive.google.com/open?id=1GK3g8dlohfAwbeGbnSQNrq0Md6y2djEZ" TargetMode="External"/><Relationship Id="rId285" Type="http://schemas.openxmlformats.org/officeDocument/2006/relationships/hyperlink" Target="https://drive.google.com/open?id=1ONfTEhCUhXz-rAG_anQDYBRkPre1TFDO" TargetMode="External"/><Relationship Id="rId284" Type="http://schemas.openxmlformats.org/officeDocument/2006/relationships/hyperlink" Target="https://drive.google.com/open?id=1NvQh4a2KQ4rR-IgMBeJhKf3OIWilebv3" TargetMode="External"/><Relationship Id="rId283" Type="http://schemas.openxmlformats.org/officeDocument/2006/relationships/hyperlink" Target="https://drive.google.com/open?id=1vJXVgBLy-eD6gTYzlvIPPlmrGdgVWAdt" TargetMode="External"/><Relationship Id="rId289" Type="http://schemas.openxmlformats.org/officeDocument/2006/relationships/hyperlink" Target="https://drive.google.com/open?id=1DWsNuKQN15LcD6S7jFCt5Wg7NDZnBYEw" TargetMode="External"/><Relationship Id="rId288" Type="http://schemas.openxmlformats.org/officeDocument/2006/relationships/hyperlink" Target="https://drive.google.com/open?id=1XgTBAyE4eQZd2ZUzl09BN0oUfow00ulA" TargetMode="External"/><Relationship Id="rId287" Type="http://schemas.openxmlformats.org/officeDocument/2006/relationships/hyperlink" Target="https://drive.google.com/open?id=1vusyeUcCU0nI56j9xQL6lCqsKM6rR1mZ" TargetMode="External"/><Relationship Id="rId282" Type="http://schemas.openxmlformats.org/officeDocument/2006/relationships/hyperlink" Target="https://drive.google.com/open?id=1iIuVzldLoemxhN6bzUA0pj38mnyLGtbm" TargetMode="External"/><Relationship Id="rId281" Type="http://schemas.openxmlformats.org/officeDocument/2006/relationships/hyperlink" Target="https://drive.google.com/open?id=13arreDD6hdIx_wQ_bfB7gQ28hLvMCY_Z" TargetMode="External"/><Relationship Id="rId280" Type="http://schemas.openxmlformats.org/officeDocument/2006/relationships/hyperlink" Target="https://drive.google.com/open?id=1UHyTriBGL46otEdgxSTF7pU8ikw7TrjH" TargetMode="External"/><Relationship Id="rId275" Type="http://schemas.openxmlformats.org/officeDocument/2006/relationships/hyperlink" Target="https://drive.google.com/open?id=13suK1EFQhmacmuPUi-g5QdJrG_e7Z1XP" TargetMode="External"/><Relationship Id="rId274" Type="http://schemas.openxmlformats.org/officeDocument/2006/relationships/hyperlink" Target="https://drive.google.com/open?id=1YMwlE9B7z8f7bP1_Hl2L23QpVXz06j8C" TargetMode="External"/><Relationship Id="rId273" Type="http://schemas.openxmlformats.org/officeDocument/2006/relationships/hyperlink" Target="https://drive.google.com/open?id=1W_56opVI2sOc_rLXZNZC2gZ9uYHyzp8m" TargetMode="External"/><Relationship Id="rId272" Type="http://schemas.openxmlformats.org/officeDocument/2006/relationships/hyperlink" Target="https://drive.google.com/open?id=1wgdMhxvhafecScopfgBkEfpOXiTUKQCq" TargetMode="External"/><Relationship Id="rId279" Type="http://schemas.openxmlformats.org/officeDocument/2006/relationships/hyperlink" Target="https://drive.google.com/open?id=1V5OtsLZRG3Q-Yuy1FyGfakQU9VAWVHV3" TargetMode="External"/><Relationship Id="rId278" Type="http://schemas.openxmlformats.org/officeDocument/2006/relationships/hyperlink" Target="https://drive.google.com/open?id=1mpTAEL6EkkRbsUYnG-iparfvYZkLTuju" TargetMode="External"/><Relationship Id="rId277" Type="http://schemas.openxmlformats.org/officeDocument/2006/relationships/hyperlink" Target="https://drive.google.com/open?id=1J2bgLWsEZpm2m_OwdtZrY6rkli_zEZIc" TargetMode="External"/><Relationship Id="rId276" Type="http://schemas.openxmlformats.org/officeDocument/2006/relationships/hyperlink" Target="https://drive.google.com/open?id=11EVqg-s9Ecnr2kjl_pXPRYCYsyK6IIY8" TargetMode="External"/><Relationship Id="rId907" Type="http://schemas.openxmlformats.org/officeDocument/2006/relationships/hyperlink" Target="https://drive.google.com/open?id=1yrpob7GEtnp11sDnbHofiLuiO69ruuUD" TargetMode="External"/><Relationship Id="rId906" Type="http://schemas.openxmlformats.org/officeDocument/2006/relationships/hyperlink" Target="https://drive.google.com/open?id=1pjAkZR5qGTrSbhzY7QSJDs3Xoo96cnU0" TargetMode="External"/><Relationship Id="rId905" Type="http://schemas.openxmlformats.org/officeDocument/2006/relationships/hyperlink" Target="https://drive.google.com/open?id=192mm6VVIfJjgqhb4tGJJ8Jkxnr3dHPkD" TargetMode="External"/><Relationship Id="rId904" Type="http://schemas.openxmlformats.org/officeDocument/2006/relationships/hyperlink" Target="https://drive.google.com/open?id=1Ata0KsBrTLlmH1Lv5XyUZf5zsiG5IwUC" TargetMode="External"/><Relationship Id="rId909" Type="http://schemas.openxmlformats.org/officeDocument/2006/relationships/hyperlink" Target="https://drive.google.com/open?id=1krBqB4iRTPtpSaSSqqQOpV4PCTObmjQr" TargetMode="External"/><Relationship Id="rId908" Type="http://schemas.openxmlformats.org/officeDocument/2006/relationships/hyperlink" Target="https://drive.google.com/open?id=1N6V5lRVqVgLzdzu9bZ2CQ9jTwsVneQXx" TargetMode="External"/><Relationship Id="rId903" Type="http://schemas.openxmlformats.org/officeDocument/2006/relationships/hyperlink" Target="https://drive.google.com/open?id=1rvlv1fB2AOPg9O-TdGANSZuGI-rLbPgM" TargetMode="External"/><Relationship Id="rId902" Type="http://schemas.openxmlformats.org/officeDocument/2006/relationships/hyperlink" Target="https://drive.google.com/open?id=1gdX2SuGN3NWkhlWP-cYVgqeaut2enJD6" TargetMode="External"/><Relationship Id="rId901" Type="http://schemas.openxmlformats.org/officeDocument/2006/relationships/hyperlink" Target="https://drive.google.com/open?id=1ookceN6DTvRVh27DdQ0-uXV_qmAY3sE4" TargetMode="External"/><Relationship Id="rId900" Type="http://schemas.openxmlformats.org/officeDocument/2006/relationships/hyperlink" Target="https://drive.google.com/open?id=1rT7dzuIxL7wIa53ftOh1NJOoxXUZPj61" TargetMode="External"/><Relationship Id="rId929" Type="http://schemas.openxmlformats.org/officeDocument/2006/relationships/hyperlink" Target="https://drive.google.com/open?id=11nNXZ1cwlxd0gkXfTzY7-iQQ7fsre0we" TargetMode="External"/><Relationship Id="rId928" Type="http://schemas.openxmlformats.org/officeDocument/2006/relationships/hyperlink" Target="https://drive.google.com/open?id=1ogtI0k8QfTdN8_xL88Ke3Qhm64BgeS-p" TargetMode="External"/><Relationship Id="rId927" Type="http://schemas.openxmlformats.org/officeDocument/2006/relationships/hyperlink" Target="https://drive.google.com/open?id=1yukF623XoU8KThMsktGi3nyyI4lOvCxu" TargetMode="External"/><Relationship Id="rId926" Type="http://schemas.openxmlformats.org/officeDocument/2006/relationships/hyperlink" Target="https://drive.google.com/open?id=1tQaKsg11x3X6UQ5RgtbjoExt1OgSv9FU" TargetMode="External"/><Relationship Id="rId921" Type="http://schemas.openxmlformats.org/officeDocument/2006/relationships/hyperlink" Target="https://drive.google.com/open?id=1-bAzhrbEz75I42lO68iJEN2zTwsqzm3X" TargetMode="External"/><Relationship Id="rId920" Type="http://schemas.openxmlformats.org/officeDocument/2006/relationships/hyperlink" Target="https://drive.google.com/open?id=1zCrAmnDMlR3fWPyFWWKJz-ubnxVpq1XO" TargetMode="External"/><Relationship Id="rId925" Type="http://schemas.openxmlformats.org/officeDocument/2006/relationships/hyperlink" Target="https://drive.google.com/open?id=17xPO-v0Nt3V-rsinj7lSb6put8l_gdj6" TargetMode="External"/><Relationship Id="rId924" Type="http://schemas.openxmlformats.org/officeDocument/2006/relationships/hyperlink" Target="https://drive.google.com/open?id=1fDpRUJUzYBVJi7OwijGmVkl_TBZ4S7ar" TargetMode="External"/><Relationship Id="rId923" Type="http://schemas.openxmlformats.org/officeDocument/2006/relationships/hyperlink" Target="https://drive.google.com/open?id=1TT7qbHVAnWrgM5i1XI3EuON_og4qqq75" TargetMode="External"/><Relationship Id="rId922" Type="http://schemas.openxmlformats.org/officeDocument/2006/relationships/hyperlink" Target="https://drive.google.com/open?id=1wIMXIvehLhMvsDd4asqhfo_FfVAVLqVr" TargetMode="External"/><Relationship Id="rId918" Type="http://schemas.openxmlformats.org/officeDocument/2006/relationships/hyperlink" Target="https://drive.google.com/open?id=1NN1kkhtYq2xsz9Rz56COtJ5PdTHbWxeD" TargetMode="External"/><Relationship Id="rId917" Type="http://schemas.openxmlformats.org/officeDocument/2006/relationships/hyperlink" Target="https://drive.google.com/open?id=1RI_J_AkogtaYlAjPhZiAMY3pwDT7niLC" TargetMode="External"/><Relationship Id="rId916" Type="http://schemas.openxmlformats.org/officeDocument/2006/relationships/hyperlink" Target="https://drive.google.com/open?id=1jCkVeK_gnAEgwgZ9qTshkzjhI_FKpR5u" TargetMode="External"/><Relationship Id="rId915" Type="http://schemas.openxmlformats.org/officeDocument/2006/relationships/hyperlink" Target="https://drive.google.com/open?id=1upoGZc1q4bkLwcJ2XcZQhJW8Bduc-OZs" TargetMode="External"/><Relationship Id="rId919" Type="http://schemas.openxmlformats.org/officeDocument/2006/relationships/hyperlink" Target="https://drive.google.com/open?id=1zOmingxsGOEv889WkRu_kRmqxQduoHrW" TargetMode="External"/><Relationship Id="rId910" Type="http://schemas.openxmlformats.org/officeDocument/2006/relationships/hyperlink" Target="https://drive.google.com/open?id=1ifvdkHuyr4IEVx6caBBa0O6AzudInA2p" TargetMode="External"/><Relationship Id="rId914" Type="http://schemas.openxmlformats.org/officeDocument/2006/relationships/hyperlink" Target="https://drive.google.com/open?id=1CTrPQ_WSG4so-fNx7Nn_lERJCoF6vCyZ" TargetMode="External"/><Relationship Id="rId913" Type="http://schemas.openxmlformats.org/officeDocument/2006/relationships/hyperlink" Target="https://drive.google.com/open?id=15L6cdYFrCCamMHcDS5DvSWkhDYJTVIe_" TargetMode="External"/><Relationship Id="rId912" Type="http://schemas.openxmlformats.org/officeDocument/2006/relationships/hyperlink" Target="https://drive.google.com/open?id=136rPLoIMv9cOpUdoWJQq1QqnS0L5Ixpv" TargetMode="External"/><Relationship Id="rId911" Type="http://schemas.openxmlformats.org/officeDocument/2006/relationships/hyperlink" Target="https://drive.google.com/open?id=1az8HOKQzyOxlV96kZGgezlTs6h35-9si" TargetMode="External"/><Relationship Id="rId629" Type="http://schemas.openxmlformats.org/officeDocument/2006/relationships/hyperlink" Target="https://drive.google.com/open?id=1ZFUAS7JCDMMkZBbIW3snhVNbI7Xf8QLF" TargetMode="External"/><Relationship Id="rId624" Type="http://schemas.openxmlformats.org/officeDocument/2006/relationships/hyperlink" Target="https://drive.google.com/open?id=1Rogbd7JmOlC0ZL1ZWbCElBXKjtiG0Hq8" TargetMode="External"/><Relationship Id="rId866" Type="http://schemas.openxmlformats.org/officeDocument/2006/relationships/hyperlink" Target="https://drive.google.com/open?id=14cFH85JvZrFhxAiUvP38EVO-xqfHdP-c" TargetMode="External"/><Relationship Id="rId623" Type="http://schemas.openxmlformats.org/officeDocument/2006/relationships/hyperlink" Target="https://drive.google.com/open?id=1_A1Pfg1X_5-PJy4KyYRBTAosfAEMwJJV" TargetMode="External"/><Relationship Id="rId865" Type="http://schemas.openxmlformats.org/officeDocument/2006/relationships/hyperlink" Target="https://drive.google.com/open?id=1a-FgJoYmDONnO3EuUN-gU2moQyt6_GXO" TargetMode="External"/><Relationship Id="rId622" Type="http://schemas.openxmlformats.org/officeDocument/2006/relationships/hyperlink" Target="https://drive.google.com/open?id=1LkBv0ZqWhZ1C0-8-7oCl3rRyHnzUZObG" TargetMode="External"/><Relationship Id="rId864" Type="http://schemas.openxmlformats.org/officeDocument/2006/relationships/hyperlink" Target="https://drive.google.com/open?id=1S0-4Qyqo3kdV6AtH7B0_GhXd1dnRUp_0" TargetMode="External"/><Relationship Id="rId621" Type="http://schemas.openxmlformats.org/officeDocument/2006/relationships/hyperlink" Target="https://drive.google.com/open?id=1Rx_uVVi7y5-fREu0-xZwByzHCbsT6X0H" TargetMode="External"/><Relationship Id="rId863" Type="http://schemas.openxmlformats.org/officeDocument/2006/relationships/hyperlink" Target="https://drive.google.com/open?id=1PqR210RnLxTR3jKckKTg4b2KDR1KD_gP" TargetMode="External"/><Relationship Id="rId628" Type="http://schemas.openxmlformats.org/officeDocument/2006/relationships/hyperlink" Target="https://drive.google.com/open?id=1N2Di2UOYzN9hlFg2K7-t9dxjjH15LNoK" TargetMode="External"/><Relationship Id="rId627" Type="http://schemas.openxmlformats.org/officeDocument/2006/relationships/hyperlink" Target="https://drive.google.com/open?id=1hm9Ier33X5s--KcWkdzg1moMaPuiEXDp" TargetMode="External"/><Relationship Id="rId869" Type="http://schemas.openxmlformats.org/officeDocument/2006/relationships/hyperlink" Target="https://drive.google.com/open?id=1UyWdAQzLPzKNSZIxjDSx18x9FymevD2r" TargetMode="External"/><Relationship Id="rId626" Type="http://schemas.openxmlformats.org/officeDocument/2006/relationships/hyperlink" Target="https://drive.google.com/open?id=1thjgL9qKliNrXIbQEvRhELcXZVfl2i6A" TargetMode="External"/><Relationship Id="rId868" Type="http://schemas.openxmlformats.org/officeDocument/2006/relationships/hyperlink" Target="https://drive.google.com/open?id=1PqUwFCO6rpa3g_j08FR87A4w4aiK3rxF" TargetMode="External"/><Relationship Id="rId625" Type="http://schemas.openxmlformats.org/officeDocument/2006/relationships/hyperlink" Target="https://drive.google.com/open?id=18MBHOCUZ2JGWmJq18zw2bCBmaxBlucxC" TargetMode="External"/><Relationship Id="rId867" Type="http://schemas.openxmlformats.org/officeDocument/2006/relationships/hyperlink" Target="https://drive.google.com/open?id=1a7pfuPbLx1b25gRpgamb6IZoE7jfvnkU" TargetMode="External"/><Relationship Id="rId620" Type="http://schemas.openxmlformats.org/officeDocument/2006/relationships/hyperlink" Target="https://drive.google.com/open?id=1rVxg39VTesjmdfOdPXEGaWLyhLMp-FiK" TargetMode="External"/><Relationship Id="rId862" Type="http://schemas.openxmlformats.org/officeDocument/2006/relationships/hyperlink" Target="https://drive.google.com/open?id=1LU3Z5rWiObP0J6YySn9r1G_0VyJwfkHC" TargetMode="External"/><Relationship Id="rId861" Type="http://schemas.openxmlformats.org/officeDocument/2006/relationships/hyperlink" Target="https://drive.google.com/open?id=1tqSSBAtzxrrw6IXGBwYrXiMIGW-7X0iX" TargetMode="External"/><Relationship Id="rId860" Type="http://schemas.openxmlformats.org/officeDocument/2006/relationships/hyperlink" Target="https://drive.google.com/open?id=1gBCLkNY3yLwzkAfOyRHZcp_3Oo2_h0b5" TargetMode="External"/><Relationship Id="rId619" Type="http://schemas.openxmlformats.org/officeDocument/2006/relationships/hyperlink" Target="https://drive.google.com/open?id=1kye1VyZoAo1jqhitZPy7igbCuDAlO-Iz" TargetMode="External"/><Relationship Id="rId618" Type="http://schemas.openxmlformats.org/officeDocument/2006/relationships/hyperlink" Target="https://drive.google.com/open?id=1spEEr3lEboxWKgH5wsBD99y7Gj6keNBL" TargetMode="External"/><Relationship Id="rId613" Type="http://schemas.openxmlformats.org/officeDocument/2006/relationships/hyperlink" Target="https://drive.google.com/open?id=1BJ2HpE_h6VqkQ2HBPR2FfiJnl_s8OFLr" TargetMode="External"/><Relationship Id="rId855" Type="http://schemas.openxmlformats.org/officeDocument/2006/relationships/hyperlink" Target="https://drive.google.com/open?id=16IELl9r1xLD2HAIqKjT6ZK5tPrv4SI28" TargetMode="External"/><Relationship Id="rId612" Type="http://schemas.openxmlformats.org/officeDocument/2006/relationships/hyperlink" Target="https://drive.google.com/open?id=17ySPlM8NByHJfqOCzi7GvUFI7y4a7gbS" TargetMode="External"/><Relationship Id="rId854" Type="http://schemas.openxmlformats.org/officeDocument/2006/relationships/hyperlink" Target="https://drive.google.com/open?id=1HUbRjYAz-f1ZDfd18l397yjQ1hG4iRba" TargetMode="External"/><Relationship Id="rId611" Type="http://schemas.openxmlformats.org/officeDocument/2006/relationships/hyperlink" Target="https://drive.google.com/open?id=1ufEuhUH-U1uZlIBGu49v3yoxOK0Ng5YW" TargetMode="External"/><Relationship Id="rId853" Type="http://schemas.openxmlformats.org/officeDocument/2006/relationships/hyperlink" Target="https://drive.google.com/open?id=1d35MXGdEG7nciy2Sjk5kD2eH1PFp12Ky" TargetMode="External"/><Relationship Id="rId610" Type="http://schemas.openxmlformats.org/officeDocument/2006/relationships/hyperlink" Target="https://drive.google.com/open?id=1gEvcBr8TgpjgBA9-PUjrwkM0swzr87hc" TargetMode="External"/><Relationship Id="rId852" Type="http://schemas.openxmlformats.org/officeDocument/2006/relationships/hyperlink" Target="https://drive.google.com/open?id=1fYmqCA50zmjVckB7zWxtkn6Sz__-R_SB" TargetMode="External"/><Relationship Id="rId617" Type="http://schemas.openxmlformats.org/officeDocument/2006/relationships/hyperlink" Target="https://drive.google.com/open?id=1GACDtP8ABa8zirKDoV1nOQVZD8bWz_6N" TargetMode="External"/><Relationship Id="rId859" Type="http://schemas.openxmlformats.org/officeDocument/2006/relationships/hyperlink" Target="https://drive.google.com/open?id=12rVGMnD6HBEyKMA9b94oCG6S6Srg1_RT" TargetMode="External"/><Relationship Id="rId616" Type="http://schemas.openxmlformats.org/officeDocument/2006/relationships/hyperlink" Target="https://drive.google.com/open?id=1hI17hfY3NtaGwim8k0V_24JwUTPvFmVp" TargetMode="External"/><Relationship Id="rId858" Type="http://schemas.openxmlformats.org/officeDocument/2006/relationships/hyperlink" Target="https://drive.google.com/open?id=1jkOxaxAJSyatnIUCbjt9R-Qnhmm3GjlQ" TargetMode="External"/><Relationship Id="rId615" Type="http://schemas.openxmlformats.org/officeDocument/2006/relationships/hyperlink" Target="https://drive.google.com/open?id=1wsY3Ylg7nILeAr7RuZ7tbgyXqR18-Xcx" TargetMode="External"/><Relationship Id="rId857" Type="http://schemas.openxmlformats.org/officeDocument/2006/relationships/hyperlink" Target="https://drive.google.com/open?id=1EvXO5YvDq8KkZmKOMzQJBqgvQ0oxjTie" TargetMode="External"/><Relationship Id="rId614" Type="http://schemas.openxmlformats.org/officeDocument/2006/relationships/hyperlink" Target="https://drive.google.com/open?id=11hVyZoH7pCMIqo586lsv6g61VwKc4cE2" TargetMode="External"/><Relationship Id="rId856" Type="http://schemas.openxmlformats.org/officeDocument/2006/relationships/hyperlink" Target="https://drive.google.com/open?id=1XYxxU_PgIfYXQBIUVVfXIbT4ebUbecWF" TargetMode="External"/><Relationship Id="rId851" Type="http://schemas.openxmlformats.org/officeDocument/2006/relationships/hyperlink" Target="https://drive.google.com/open?id=1Ql_WfgdZaDtA7mPRJL1wz6jppZrzSM0Y" TargetMode="External"/><Relationship Id="rId850" Type="http://schemas.openxmlformats.org/officeDocument/2006/relationships/hyperlink" Target="https://drive.google.com/open?id=1y-xdSuJSw5PDpPKsDUTd1IR7lmZ93zTb" TargetMode="External"/><Relationship Id="rId409" Type="http://schemas.openxmlformats.org/officeDocument/2006/relationships/hyperlink" Target="https://drive.google.com/open?id=1UusVraQHBXEowgF1WzQuYcY3B0yK_ivq" TargetMode="External"/><Relationship Id="rId404" Type="http://schemas.openxmlformats.org/officeDocument/2006/relationships/hyperlink" Target="https://drive.google.com/open?id=1WUkBkOV0alYRhthbeADuZ_0HhbmxMsKH" TargetMode="External"/><Relationship Id="rId646" Type="http://schemas.openxmlformats.org/officeDocument/2006/relationships/hyperlink" Target="https://drive.google.com/open?id=1Bj_XdCFviJnZzO1wFjgZf9cdAt464kyf" TargetMode="External"/><Relationship Id="rId888" Type="http://schemas.openxmlformats.org/officeDocument/2006/relationships/hyperlink" Target="https://drive.google.com/open?id=1703n7OdKgHLX898-aiWPcEonjEP8Oifa" TargetMode="External"/><Relationship Id="rId403" Type="http://schemas.openxmlformats.org/officeDocument/2006/relationships/hyperlink" Target="https://drive.google.com/open?id=11BpHA_UEZSKNsezCWRUJFLDQkueyW1XP" TargetMode="External"/><Relationship Id="rId645" Type="http://schemas.openxmlformats.org/officeDocument/2006/relationships/hyperlink" Target="https://drive.google.com/open?id=1WAfkVp3xOHEmpGk1pp_Ic63Y8n758w3R" TargetMode="External"/><Relationship Id="rId887" Type="http://schemas.openxmlformats.org/officeDocument/2006/relationships/hyperlink" Target="https://drive.google.com/open?id=1G7LC2jh3tarzQmZrY7m1jaxkQEhmYuS4" TargetMode="External"/><Relationship Id="rId402" Type="http://schemas.openxmlformats.org/officeDocument/2006/relationships/hyperlink" Target="https://drive.google.com/open?id=1kElYT6QUnb5F5opqwrl0p5fY-QXDD_-m" TargetMode="External"/><Relationship Id="rId644" Type="http://schemas.openxmlformats.org/officeDocument/2006/relationships/hyperlink" Target="https://drive.google.com/open?id=1SBrmvEILj-jFYtuDkXeqYtwWQ2mkmL8o" TargetMode="External"/><Relationship Id="rId886" Type="http://schemas.openxmlformats.org/officeDocument/2006/relationships/hyperlink" Target="https://drive.google.com/open?id=114VQ_n7guZUoRfhMVG0IjfsP8LTg0-9j" TargetMode="External"/><Relationship Id="rId401" Type="http://schemas.openxmlformats.org/officeDocument/2006/relationships/hyperlink" Target="https://drive.google.com/open?id=1frwUbFlzk6kZCD_s9vvDMyC8w3wTZU4G" TargetMode="External"/><Relationship Id="rId643" Type="http://schemas.openxmlformats.org/officeDocument/2006/relationships/hyperlink" Target="https://drive.google.com/open?id=1dLgxiaF8MaZjjmDTo_Mj6UIKtuN6sjau" TargetMode="External"/><Relationship Id="rId885" Type="http://schemas.openxmlformats.org/officeDocument/2006/relationships/hyperlink" Target="https://drive.google.com/open?id=1TcdkKKsry3ytDTe2yLGzbPl-HQN9ystV" TargetMode="External"/><Relationship Id="rId408" Type="http://schemas.openxmlformats.org/officeDocument/2006/relationships/hyperlink" Target="https://drive.google.com/open?id=1YQUhW4nGGoJaFsr320xvVwDeFjIvhPSa" TargetMode="External"/><Relationship Id="rId407" Type="http://schemas.openxmlformats.org/officeDocument/2006/relationships/hyperlink" Target="https://drive.google.com/open?id=1zwGIatkruzcD08gRZmo1Nth1ngAfmn8k" TargetMode="External"/><Relationship Id="rId649" Type="http://schemas.openxmlformats.org/officeDocument/2006/relationships/hyperlink" Target="https://drive.google.com/open?id=1iA9U_l5qDexyWseW-p-Rd2bdWZqLIdbr" TargetMode="External"/><Relationship Id="rId406" Type="http://schemas.openxmlformats.org/officeDocument/2006/relationships/hyperlink" Target="https://drive.google.com/open?id=1ZcOSLJhN_s-4j2rv8WcSAUuHd4fSM4Ot" TargetMode="External"/><Relationship Id="rId648" Type="http://schemas.openxmlformats.org/officeDocument/2006/relationships/hyperlink" Target="https://drive.google.com/open?id=1FuOrDSpdzuunFNBV0kAgOeccGte25_G2" TargetMode="External"/><Relationship Id="rId405" Type="http://schemas.openxmlformats.org/officeDocument/2006/relationships/hyperlink" Target="https://drive.google.com/open?id=179mHX4qV54e2mpE0CVF2rSYDOogN5qki" TargetMode="External"/><Relationship Id="rId647" Type="http://schemas.openxmlformats.org/officeDocument/2006/relationships/hyperlink" Target="https://drive.google.com/open?id=1xQUCbK97BcYedevxsR625_jJe2FKsQFS" TargetMode="External"/><Relationship Id="rId889" Type="http://schemas.openxmlformats.org/officeDocument/2006/relationships/hyperlink" Target="https://drive.google.com/open?id=1sYQWNnlwnqJlht4EsoA0Gi5HbfXJbntc" TargetMode="External"/><Relationship Id="rId880" Type="http://schemas.openxmlformats.org/officeDocument/2006/relationships/hyperlink" Target="https://drive.google.com/open?id=1Z1Bf31dVQJF2NlQIn0CtB9YdY5woctAr" TargetMode="External"/><Relationship Id="rId400" Type="http://schemas.openxmlformats.org/officeDocument/2006/relationships/hyperlink" Target="https://drive.google.com/open?id=125A2vg7nmrz07jStSackdwODhZ5zcIZj" TargetMode="External"/><Relationship Id="rId642" Type="http://schemas.openxmlformats.org/officeDocument/2006/relationships/hyperlink" Target="https://drive.google.com/open?id=18k9Dr7ChCs81Wa3jYw29lwAyaFXkZqyf" TargetMode="External"/><Relationship Id="rId884" Type="http://schemas.openxmlformats.org/officeDocument/2006/relationships/hyperlink" Target="https://drive.google.com/open?id=1gL-Hm8mOgnT4Rdi5L7G3IHUkFyNBNoiW" TargetMode="External"/><Relationship Id="rId641" Type="http://schemas.openxmlformats.org/officeDocument/2006/relationships/hyperlink" Target="https://drive.google.com/open?id=1lOogBZa37FchW1jwLOcy9JWz_CUyBEfU" TargetMode="External"/><Relationship Id="rId883" Type="http://schemas.openxmlformats.org/officeDocument/2006/relationships/hyperlink" Target="https://drive.google.com/open?id=1TJiI2NOOKe8bWkG84pn0jhR8CS0SVQy1" TargetMode="External"/><Relationship Id="rId640" Type="http://schemas.openxmlformats.org/officeDocument/2006/relationships/hyperlink" Target="https://drive.google.com/open?id=1xmbBi4Z1wR1CR8_qhrDWk9A3I9MR9Ryk" TargetMode="External"/><Relationship Id="rId882" Type="http://schemas.openxmlformats.org/officeDocument/2006/relationships/hyperlink" Target="https://drive.google.com/open?id=1Mlnb4rTEPihTkKaPjbZ8_ayO7GgltZZl" TargetMode="External"/><Relationship Id="rId881" Type="http://schemas.openxmlformats.org/officeDocument/2006/relationships/hyperlink" Target="https://drive.google.com/open?id=1LQPESOSXDNNZ4ycBBM1b52MgUwydh5TN" TargetMode="External"/><Relationship Id="rId635" Type="http://schemas.openxmlformats.org/officeDocument/2006/relationships/hyperlink" Target="https://drive.google.com/open?id=1uHAcfyQEhAzgSptk8NOoBTMFKRRNps6A" TargetMode="External"/><Relationship Id="rId877" Type="http://schemas.openxmlformats.org/officeDocument/2006/relationships/hyperlink" Target="https://drive.google.com/open?id=1vy1mYooRkRgwx-LZrA7Vh_-h4Y4Kv3la" TargetMode="External"/><Relationship Id="rId634" Type="http://schemas.openxmlformats.org/officeDocument/2006/relationships/hyperlink" Target="https://drive.google.com/open?id=1qVJqM36Ni3OT6qbLO7WOPDN8DJlVC3ma" TargetMode="External"/><Relationship Id="rId876" Type="http://schemas.openxmlformats.org/officeDocument/2006/relationships/hyperlink" Target="https://drive.google.com/open?id=1Ms9tVDVGJQy57IXYTmzcOMDVzW-y4Pl9" TargetMode="External"/><Relationship Id="rId633" Type="http://schemas.openxmlformats.org/officeDocument/2006/relationships/hyperlink" Target="https://drive.google.com/open?id=1fOWMtrO_YVc0l-Rb0crRxle3HvxKaz8Y" TargetMode="External"/><Relationship Id="rId875" Type="http://schemas.openxmlformats.org/officeDocument/2006/relationships/hyperlink" Target="https://drive.google.com/open?id=1NinmtNMjwBXc0lQFJwbrrzwewtS_TC38" TargetMode="External"/><Relationship Id="rId632" Type="http://schemas.openxmlformats.org/officeDocument/2006/relationships/hyperlink" Target="https://drive.google.com/open?id=1eBPDFxp5h0F3rzsIY7yoaCzDVA_VDgC8" TargetMode="External"/><Relationship Id="rId874" Type="http://schemas.openxmlformats.org/officeDocument/2006/relationships/hyperlink" Target="https://drive.google.com/open?id=1FjlQUyoPaE-4nPplxVWCscqCsQR-E0kT" TargetMode="External"/><Relationship Id="rId639" Type="http://schemas.openxmlformats.org/officeDocument/2006/relationships/hyperlink" Target="https://drive.google.com/open?id=1tvC2yMasl_kwMqxTTauwIpBntVnX00HP" TargetMode="External"/><Relationship Id="rId638" Type="http://schemas.openxmlformats.org/officeDocument/2006/relationships/hyperlink" Target="https://drive.google.com/open?id=1m9JoGvmQRtPGxd5bEkti6eROBRM9Jfgr" TargetMode="External"/><Relationship Id="rId637" Type="http://schemas.openxmlformats.org/officeDocument/2006/relationships/hyperlink" Target="https://drive.google.com/open?id=1VItXTktPylXxVeXwDoWLuiHdxyo34LGl" TargetMode="External"/><Relationship Id="rId879" Type="http://schemas.openxmlformats.org/officeDocument/2006/relationships/hyperlink" Target="https://drive.google.com/open?id=19cWjba07NPQU-1nfgJnxaSOFSeDTjEJC" TargetMode="External"/><Relationship Id="rId636" Type="http://schemas.openxmlformats.org/officeDocument/2006/relationships/hyperlink" Target="https://drive.google.com/open?id=1KGqTTHNDkDQCd8VgvhGXuAOhmdMuFxmv" TargetMode="External"/><Relationship Id="rId878" Type="http://schemas.openxmlformats.org/officeDocument/2006/relationships/hyperlink" Target="https://drive.google.com/open?id=1Y8QQQnPrsAkhFeV-wllBVunj2sl_aWL0" TargetMode="External"/><Relationship Id="rId631" Type="http://schemas.openxmlformats.org/officeDocument/2006/relationships/hyperlink" Target="https://drive.google.com/open?id=1Q9wYIRefDo10uXj7WBKNNDnE1mQovkEk" TargetMode="External"/><Relationship Id="rId873" Type="http://schemas.openxmlformats.org/officeDocument/2006/relationships/hyperlink" Target="https://drive.google.com/open?id=1Ko36ryGaOxcIRbOMODW2JJLP0fn2MN8l" TargetMode="External"/><Relationship Id="rId630" Type="http://schemas.openxmlformats.org/officeDocument/2006/relationships/hyperlink" Target="https://drive.google.com/open?id=12swFW_p2fTKUGVdmY9MZ2VLMiLZqf6hi" TargetMode="External"/><Relationship Id="rId872" Type="http://schemas.openxmlformats.org/officeDocument/2006/relationships/hyperlink" Target="https://drive.google.com/open?id=1_aXSqF_L2yCaEEyeDwVeQx7ftzYO8Kpx" TargetMode="External"/><Relationship Id="rId871" Type="http://schemas.openxmlformats.org/officeDocument/2006/relationships/hyperlink" Target="https://drive.google.com/open?id=1rsEPmGR4JZ3XNuGa_6aQ9iD8l36_-2OU" TargetMode="External"/><Relationship Id="rId870" Type="http://schemas.openxmlformats.org/officeDocument/2006/relationships/hyperlink" Target="https://drive.google.com/open?id=14XmtTHqd8JnYBOnW5ijuUidrCaNor5kt" TargetMode="External"/><Relationship Id="rId829" Type="http://schemas.openxmlformats.org/officeDocument/2006/relationships/hyperlink" Target="https://drive.google.com/open?id=1-plMSQasQmhDboxC4xiSyapBhIxW9fJN" TargetMode="External"/><Relationship Id="rId828" Type="http://schemas.openxmlformats.org/officeDocument/2006/relationships/hyperlink" Target="https://drive.google.com/open?id=11aI5-P5LhNv4cZX0bvZb-M5Im6NAsnDs" TargetMode="External"/><Relationship Id="rId827" Type="http://schemas.openxmlformats.org/officeDocument/2006/relationships/hyperlink" Target="https://drive.google.com/open?id=11v_5bUUHlM_YtL5tJv7e5hVNNqtCqwck" TargetMode="External"/><Relationship Id="rId822" Type="http://schemas.openxmlformats.org/officeDocument/2006/relationships/hyperlink" Target="https://drive.google.com/open?id=1E0XXjyArzlwFIlHAWrWPexNUc6L51fWS" TargetMode="External"/><Relationship Id="rId821" Type="http://schemas.openxmlformats.org/officeDocument/2006/relationships/hyperlink" Target="https://drive.google.com/open?id=1diyo7ungd23nlsnWZbWUreNjb3rZ5Fgk" TargetMode="External"/><Relationship Id="rId820" Type="http://schemas.openxmlformats.org/officeDocument/2006/relationships/hyperlink" Target="https://drive.google.com/open?id=1RSNFNTRF6TQoI7rpPquPbVkQRsbCtfta" TargetMode="External"/><Relationship Id="rId826" Type="http://schemas.openxmlformats.org/officeDocument/2006/relationships/hyperlink" Target="https://drive.google.com/open?id=1piMo1Kg8RTN6hSteI_ffr4gfE1IRwPl5" TargetMode="External"/><Relationship Id="rId825" Type="http://schemas.openxmlformats.org/officeDocument/2006/relationships/hyperlink" Target="https://drive.google.com/open?id=1Imu__ND-La04KoLoK8zS8cJ20sFW0Wo0" TargetMode="External"/><Relationship Id="rId824" Type="http://schemas.openxmlformats.org/officeDocument/2006/relationships/hyperlink" Target="https://drive.google.com/open?id=1MfEw0E1uLAk_Zq0bVuWiLa04v3nC5vEI" TargetMode="External"/><Relationship Id="rId823" Type="http://schemas.openxmlformats.org/officeDocument/2006/relationships/hyperlink" Target="https://drive.google.com/open?id=1jp94r9xeuXnZLdqx9Hq_XEJ7IncTF6QX" TargetMode="External"/><Relationship Id="rId819" Type="http://schemas.openxmlformats.org/officeDocument/2006/relationships/hyperlink" Target="https://drive.google.com/open?id=1Je8hBRbRz8nlf74khs1LIv2ezNz5OTk8" TargetMode="External"/><Relationship Id="rId818" Type="http://schemas.openxmlformats.org/officeDocument/2006/relationships/hyperlink" Target="https://drive.google.com/open?id=1UmdsROtpO3qFSacNjOv20aJm6Zd1DJYC" TargetMode="External"/><Relationship Id="rId817" Type="http://schemas.openxmlformats.org/officeDocument/2006/relationships/hyperlink" Target="https://drive.google.com/open?id=17qkt4p_bVrk-f7Uokq48VYXiNO62fou5" TargetMode="External"/><Relationship Id="rId816" Type="http://schemas.openxmlformats.org/officeDocument/2006/relationships/hyperlink" Target="https://drive.google.com/open?id=1EQcGHfhCLAP9dB2cfUrokdCo7L2-ww7g" TargetMode="External"/><Relationship Id="rId811" Type="http://schemas.openxmlformats.org/officeDocument/2006/relationships/hyperlink" Target="https://drive.google.com/open?id=15SwF3tXe1pAKJEhMQvVgw6hMPoafSfI0" TargetMode="External"/><Relationship Id="rId810" Type="http://schemas.openxmlformats.org/officeDocument/2006/relationships/hyperlink" Target="https://drive.google.com/open?id=1U4PLbQM5IM6HpTkiCxSNfOcmg38jZE04" TargetMode="External"/><Relationship Id="rId815" Type="http://schemas.openxmlformats.org/officeDocument/2006/relationships/hyperlink" Target="https://drive.google.com/open?id=15WT1E6RxooOA5I59zDuxsaXVbU_AwsEO" TargetMode="External"/><Relationship Id="rId814" Type="http://schemas.openxmlformats.org/officeDocument/2006/relationships/hyperlink" Target="https://drive.google.com/open?id=1la4LUS_89ZFJgyRx1GFlxfChCvEd1pau" TargetMode="External"/><Relationship Id="rId813" Type="http://schemas.openxmlformats.org/officeDocument/2006/relationships/hyperlink" Target="https://drive.google.com/open?id=1CNgJoy8Q9c3q6RZVZqmgS7TlYMHGezS2" TargetMode="External"/><Relationship Id="rId812" Type="http://schemas.openxmlformats.org/officeDocument/2006/relationships/hyperlink" Target="https://drive.google.com/open?id=1OvbeLloYzpbSi3FYizO6AP-eFLiUoIc-" TargetMode="External"/><Relationship Id="rId609" Type="http://schemas.openxmlformats.org/officeDocument/2006/relationships/hyperlink" Target="https://drive.google.com/open?id=1rSxfs1agWDONlTM6AI6HP8N04k4zLUdP" TargetMode="External"/><Relationship Id="rId608" Type="http://schemas.openxmlformats.org/officeDocument/2006/relationships/hyperlink" Target="https://drive.google.com/open?id=1LDsi0Dx8n8LWpSwFmGNCoXLMjhA93abS" TargetMode="External"/><Relationship Id="rId607" Type="http://schemas.openxmlformats.org/officeDocument/2006/relationships/hyperlink" Target="https://drive.google.com/open?id=1CwmBcfZuBQfMKoPDA4OO1or89ejdPJt6" TargetMode="External"/><Relationship Id="rId849" Type="http://schemas.openxmlformats.org/officeDocument/2006/relationships/hyperlink" Target="https://drive.google.com/open?id=1neOX2qSvwrl-Neo7xjesCWj-7YQ1GBKp" TargetMode="External"/><Relationship Id="rId602" Type="http://schemas.openxmlformats.org/officeDocument/2006/relationships/hyperlink" Target="https://drive.google.com/open?id=1_CerVfO-nyLboZHTgvSUzKNhnz3Th1Pn" TargetMode="External"/><Relationship Id="rId844" Type="http://schemas.openxmlformats.org/officeDocument/2006/relationships/hyperlink" Target="https://drive.google.com/open?id=1NEaCR4NTcEBInSV2P6aOAq99gPf13mLH" TargetMode="External"/><Relationship Id="rId601" Type="http://schemas.openxmlformats.org/officeDocument/2006/relationships/hyperlink" Target="https://drive.google.com/open?id=1sTEP9NXGw82-FQe51k7BiaormS4rUC-L" TargetMode="External"/><Relationship Id="rId843" Type="http://schemas.openxmlformats.org/officeDocument/2006/relationships/hyperlink" Target="https://drive.google.com/open?id=12Tdb_BzOk6uM39FapkZe_NeuIWXBhVWQ" TargetMode="External"/><Relationship Id="rId600" Type="http://schemas.openxmlformats.org/officeDocument/2006/relationships/hyperlink" Target="https://drive.google.com/open?id=1oN1okiHv4Ks9XUwMS-JlQgdkfQ9JFQgj" TargetMode="External"/><Relationship Id="rId842" Type="http://schemas.openxmlformats.org/officeDocument/2006/relationships/hyperlink" Target="https://drive.google.com/open?id=1HQO4zALlNlwC8pnhMqvureAAxeCVyS_E" TargetMode="External"/><Relationship Id="rId841" Type="http://schemas.openxmlformats.org/officeDocument/2006/relationships/hyperlink" Target="https://drive.google.com/open?id=1gpFnnyCwaRssVjVztX5PfYAcYYzUuhaE" TargetMode="External"/><Relationship Id="rId606" Type="http://schemas.openxmlformats.org/officeDocument/2006/relationships/hyperlink" Target="https://drive.google.com/open?id=1IKjtLGZOJB8AUC6nX-MPl_X6DIoDPxJt" TargetMode="External"/><Relationship Id="rId848" Type="http://schemas.openxmlformats.org/officeDocument/2006/relationships/hyperlink" Target="https://drive.google.com/open?id=1V8f2CzvFdR8KBliCvfTNJZFCQxVGQsAF" TargetMode="External"/><Relationship Id="rId605" Type="http://schemas.openxmlformats.org/officeDocument/2006/relationships/hyperlink" Target="https://drive.google.com/open?id=1SvDg8KQ0SvSyVhFhsYITTvG0ycjkHRvn" TargetMode="External"/><Relationship Id="rId847" Type="http://schemas.openxmlformats.org/officeDocument/2006/relationships/hyperlink" Target="https://drive.google.com/open?id=1YHuvc8VU-RJaZBFpL2DTxZGu-3UO5FUm" TargetMode="External"/><Relationship Id="rId604" Type="http://schemas.openxmlformats.org/officeDocument/2006/relationships/hyperlink" Target="https://drive.google.com/open?id=1XMqqTcCUch4F5WEo6sSQvbgXTs47xpTU" TargetMode="External"/><Relationship Id="rId846" Type="http://schemas.openxmlformats.org/officeDocument/2006/relationships/hyperlink" Target="https://drive.google.com/open?id=1-HXhJMiksU4SNnK-8jXU27ATZoizzZMF" TargetMode="External"/><Relationship Id="rId603" Type="http://schemas.openxmlformats.org/officeDocument/2006/relationships/hyperlink" Target="https://drive.google.com/open?id=1coEgGQR4esAij8ooRcGw_aS8mTCfFgZz" TargetMode="External"/><Relationship Id="rId845" Type="http://schemas.openxmlformats.org/officeDocument/2006/relationships/hyperlink" Target="https://drive.google.com/open?id=1_2oL-g5RhsCiqFM0Ckd05P7fd5gg8XYc" TargetMode="External"/><Relationship Id="rId840" Type="http://schemas.openxmlformats.org/officeDocument/2006/relationships/hyperlink" Target="https://drive.google.com/open?id=1Ud0s4ZqQL1HPfzxnFkx59eSV9Qe0mrzn" TargetMode="External"/><Relationship Id="rId839" Type="http://schemas.openxmlformats.org/officeDocument/2006/relationships/hyperlink" Target="https://drive.google.com/open?id=1n0WH3kNnaN0vjdxYa6op7Fw0mtN2Brxt" TargetMode="External"/><Relationship Id="rId838" Type="http://schemas.openxmlformats.org/officeDocument/2006/relationships/hyperlink" Target="https://drive.google.com/open?id=1X7d898-3wqXL6HjyeEKu2ABCTsYibV2z" TargetMode="External"/><Relationship Id="rId833" Type="http://schemas.openxmlformats.org/officeDocument/2006/relationships/hyperlink" Target="https://drive.google.com/open?id=1Dd88TsrAfTmbc8NlkD5Ta1wLTu7gujg8" TargetMode="External"/><Relationship Id="rId832" Type="http://schemas.openxmlformats.org/officeDocument/2006/relationships/hyperlink" Target="https://drive.google.com/open?id=1u-OWycZkqJqwNCCAK0RSP7wBoD3j6Olu" TargetMode="External"/><Relationship Id="rId831" Type="http://schemas.openxmlformats.org/officeDocument/2006/relationships/hyperlink" Target="https://drive.google.com/open?id=1LZ355y2GCWj2dGsboSx5xu-N87xeXToK" TargetMode="External"/><Relationship Id="rId830" Type="http://schemas.openxmlformats.org/officeDocument/2006/relationships/hyperlink" Target="https://drive.google.com/open?id=1BBMklQSmYRoPXbyIOGvFHlm4KPv59heK" TargetMode="External"/><Relationship Id="rId837" Type="http://schemas.openxmlformats.org/officeDocument/2006/relationships/hyperlink" Target="https://drive.google.com/open?id=1K16VKM4jiK674UCxOK-aT5eeT-vqCERk" TargetMode="External"/><Relationship Id="rId836" Type="http://schemas.openxmlformats.org/officeDocument/2006/relationships/hyperlink" Target="https://drive.google.com/open?id=14B63iX1qaLWEur61ySceCdQ8984Jr4kf" TargetMode="External"/><Relationship Id="rId835" Type="http://schemas.openxmlformats.org/officeDocument/2006/relationships/hyperlink" Target="https://drive.google.com/open?id=1DMiaDJiDQSVY1We-MQPJVFPnavx3lNnU" TargetMode="External"/><Relationship Id="rId834" Type="http://schemas.openxmlformats.org/officeDocument/2006/relationships/hyperlink" Target="https://drive.google.com/open?id=1o82Szyj9YRG2RVyVslCbyBwbQimfEJp6" TargetMode="External"/><Relationship Id="rId1059" Type="http://schemas.openxmlformats.org/officeDocument/2006/relationships/hyperlink" Target="https://drive.google.com/open?id=1yRwRx0s8XtNKX0K-nOCgOzUHFUbyUy6B" TargetMode="External"/><Relationship Id="rId228" Type="http://schemas.openxmlformats.org/officeDocument/2006/relationships/hyperlink" Target="https://drive.google.com/open?id=1UwoHRaEqUeH8ksn8RXA5q94bYqIkCHWa" TargetMode="External"/><Relationship Id="rId227" Type="http://schemas.openxmlformats.org/officeDocument/2006/relationships/hyperlink" Target="https://drive.google.com/open?id=1heh3WfIWsugXWiBuZG0grb43fprm72Ra" TargetMode="External"/><Relationship Id="rId469" Type="http://schemas.openxmlformats.org/officeDocument/2006/relationships/hyperlink" Target="https://drive.google.com/open?id=1sPGcS49VxqduwWWBPDviW1FohmdOyQrO" TargetMode="External"/><Relationship Id="rId226" Type="http://schemas.openxmlformats.org/officeDocument/2006/relationships/hyperlink" Target="https://drive.google.com/open?id=1mjW9Az56zO0CwDGfl_DhrkZhpx0kTILQ" TargetMode="External"/><Relationship Id="rId468" Type="http://schemas.openxmlformats.org/officeDocument/2006/relationships/hyperlink" Target="https://drive.google.com/open?id=1pCm_QAzPwLTHsnnHzI-bFfOhFlGr8Tmx" TargetMode="External"/><Relationship Id="rId225" Type="http://schemas.openxmlformats.org/officeDocument/2006/relationships/hyperlink" Target="https://drive.google.com/open?id=1pMG8i7LjcnAnSaTKzsgU5gyvQdF9kRuK" TargetMode="External"/><Relationship Id="rId467" Type="http://schemas.openxmlformats.org/officeDocument/2006/relationships/hyperlink" Target="https://drive.google.com/open?id=1aiPCz6Hr6rV83nn9Kwms9c_jf4psvSFq" TargetMode="External"/><Relationship Id="rId229" Type="http://schemas.openxmlformats.org/officeDocument/2006/relationships/hyperlink" Target="https://drive.google.com/open?id=1iXFXOMXLInFjIarpl_nPSjI8fQoFzBdN" TargetMode="External"/><Relationship Id="rId1050" Type="http://schemas.openxmlformats.org/officeDocument/2006/relationships/hyperlink" Target="https://drive.google.com/open?id=1HsFGxUHYwRbkeTRCfI8KPz_k-4nfAKDw" TargetMode="External"/><Relationship Id="rId220" Type="http://schemas.openxmlformats.org/officeDocument/2006/relationships/hyperlink" Target="https://drive.google.com/open?id=1C6CfHg8zXKtusqCnKyEG797EAZr8OMvb" TargetMode="External"/><Relationship Id="rId462" Type="http://schemas.openxmlformats.org/officeDocument/2006/relationships/hyperlink" Target="https://drive.google.com/open?id=1Qc4Y04HIjV5rBEczB4jyuuY2mTE0P52Q" TargetMode="External"/><Relationship Id="rId1051" Type="http://schemas.openxmlformats.org/officeDocument/2006/relationships/hyperlink" Target="https://drive.google.com/open?id=1y7NA7BzttNFRWkQctIG5ZVkGyeIXpDR5" TargetMode="External"/><Relationship Id="rId461" Type="http://schemas.openxmlformats.org/officeDocument/2006/relationships/hyperlink" Target="https://drive.google.com/open?id=1lVnb0kesmmMcE6jrCq2bAvyoB_fJqGFu" TargetMode="External"/><Relationship Id="rId1052" Type="http://schemas.openxmlformats.org/officeDocument/2006/relationships/hyperlink" Target="https://drive.google.com/open?id=1atlaoQTUWVI15NO5xZBIlLXiGxlLbFnT" TargetMode="External"/><Relationship Id="rId460" Type="http://schemas.openxmlformats.org/officeDocument/2006/relationships/hyperlink" Target="https://drive.google.com/open?id=1bZHFDM8400isTippBs67j6lbHCUcUbTV" TargetMode="External"/><Relationship Id="rId1053" Type="http://schemas.openxmlformats.org/officeDocument/2006/relationships/hyperlink" Target="https://drive.google.com/open?id=160h2WyCij2bKsD3BCfhlvj7HM3GulL3_" TargetMode="External"/><Relationship Id="rId1054" Type="http://schemas.openxmlformats.org/officeDocument/2006/relationships/hyperlink" Target="https://drive.google.com/open?id=114NrbM05is2wYTNBcSpXO2fKsK7UO5Nl" TargetMode="External"/><Relationship Id="rId224" Type="http://schemas.openxmlformats.org/officeDocument/2006/relationships/hyperlink" Target="https://drive.google.com/open?id=164jQiXYKK9RxnbARyw3lAo9Lr3Qk0unr" TargetMode="External"/><Relationship Id="rId466" Type="http://schemas.openxmlformats.org/officeDocument/2006/relationships/hyperlink" Target="https://drive.google.com/open?id=1uFfpE9gwlRuSJ5nSAxseRF1RtcuFsEYM" TargetMode="External"/><Relationship Id="rId1055" Type="http://schemas.openxmlformats.org/officeDocument/2006/relationships/hyperlink" Target="https://drive.google.com/open?id=1w73U9kX5ixVAa1KgRH2u_Z1gWAxiS4Gk" TargetMode="External"/><Relationship Id="rId223" Type="http://schemas.openxmlformats.org/officeDocument/2006/relationships/hyperlink" Target="https://drive.google.com/open?id=1xRSrQhlleer-gEmtzidFmKBK29JFQ-yn" TargetMode="External"/><Relationship Id="rId465" Type="http://schemas.openxmlformats.org/officeDocument/2006/relationships/hyperlink" Target="https://drive.google.com/open?id=1vry6UqzFCqsqkgbt9_aJR0rC3D5tnEqI" TargetMode="External"/><Relationship Id="rId1056" Type="http://schemas.openxmlformats.org/officeDocument/2006/relationships/hyperlink" Target="https://drive.google.com/open?id=1HI9rFcSuPfCWT6PThnrm8RXxLNRU3Xao" TargetMode="External"/><Relationship Id="rId222" Type="http://schemas.openxmlformats.org/officeDocument/2006/relationships/hyperlink" Target="https://drive.google.com/open?id=1y1ydnjBWbZVRb8NobDF2Waa_7oJGKAw4" TargetMode="External"/><Relationship Id="rId464" Type="http://schemas.openxmlformats.org/officeDocument/2006/relationships/hyperlink" Target="https://drive.google.com/open?id=15Q3sOSCsJ6U_jC2XVbUbRjoi51X5cF-w" TargetMode="External"/><Relationship Id="rId1057" Type="http://schemas.openxmlformats.org/officeDocument/2006/relationships/hyperlink" Target="https://drive.google.com/open?id=185KCnIW4KfWsxvLtjSyU-l5nja9fMMD3" TargetMode="External"/><Relationship Id="rId221" Type="http://schemas.openxmlformats.org/officeDocument/2006/relationships/hyperlink" Target="https://drive.google.com/open?id=1x7uScZFQkR8KPKWWFW0TwL_dBBG0dwv7" TargetMode="External"/><Relationship Id="rId463" Type="http://schemas.openxmlformats.org/officeDocument/2006/relationships/hyperlink" Target="https://drive.google.com/open?id=1P3t9DcyH6VfY08keDWDtFrOUuTjuiThO" TargetMode="External"/><Relationship Id="rId1058" Type="http://schemas.openxmlformats.org/officeDocument/2006/relationships/hyperlink" Target="https://drive.google.com/open?id=1NYD0TXcYJ8RKBD1VrS0ZC5Eb9hLbYbq5" TargetMode="External"/><Relationship Id="rId1048" Type="http://schemas.openxmlformats.org/officeDocument/2006/relationships/hyperlink" Target="https://drive.google.com/open?id=1LmSCZl6qIp7CRDe1axLJziWjxGnxJr2n" TargetMode="External"/><Relationship Id="rId1049" Type="http://schemas.openxmlformats.org/officeDocument/2006/relationships/hyperlink" Target="https://drive.google.com/open?id=1gqnhjYWV6b6tZjU02o0saUNp6f9y6oaD" TargetMode="External"/><Relationship Id="rId217" Type="http://schemas.openxmlformats.org/officeDocument/2006/relationships/hyperlink" Target="https://drive.google.com/open?id=15BmHQZCpJxaGetcR7lImCsl9_Ogjp3Gq" TargetMode="External"/><Relationship Id="rId459" Type="http://schemas.openxmlformats.org/officeDocument/2006/relationships/hyperlink" Target="https://drive.google.com/open?id=1bC_uRqBdInTQZ-d035sZpKSrK4ROaY-f" TargetMode="External"/><Relationship Id="rId216" Type="http://schemas.openxmlformats.org/officeDocument/2006/relationships/hyperlink" Target="https://drive.google.com/open?id=1jykOjywNmxXbJgbCAkSxJOiw8jj9Waow" TargetMode="External"/><Relationship Id="rId458" Type="http://schemas.openxmlformats.org/officeDocument/2006/relationships/hyperlink" Target="https://drive.google.com/open?id=1BWtDqY8sEpUPKyeHhfdS5sRGxYeUcz9J" TargetMode="External"/><Relationship Id="rId215" Type="http://schemas.openxmlformats.org/officeDocument/2006/relationships/hyperlink" Target="https://drive.google.com/open?id=18wKV9tKM8lDodaZE9C0oENhAStvz6aRG" TargetMode="External"/><Relationship Id="rId457" Type="http://schemas.openxmlformats.org/officeDocument/2006/relationships/hyperlink" Target="https://drive.google.com/open?id=13xIryjRjWQyi4zsJR9DjRHM5xeB1XUf7" TargetMode="External"/><Relationship Id="rId699" Type="http://schemas.openxmlformats.org/officeDocument/2006/relationships/hyperlink" Target="https://drive.google.com/open?id=1o7PJGp38K6MP3bpIYOiolosFCMJfzoDX" TargetMode="External"/><Relationship Id="rId214" Type="http://schemas.openxmlformats.org/officeDocument/2006/relationships/hyperlink" Target="https://drive.google.com/open?id=1E4hRW--X_8-_AKnbOnpAwB38ncPOy9De" TargetMode="External"/><Relationship Id="rId456" Type="http://schemas.openxmlformats.org/officeDocument/2006/relationships/hyperlink" Target="https://drive.google.com/open?id=16QHz8ehABqFXfB4xP4BgEHPk8XZKmiyW" TargetMode="External"/><Relationship Id="rId698" Type="http://schemas.openxmlformats.org/officeDocument/2006/relationships/hyperlink" Target="https://drive.google.com/open?id=1cOTK2DdJzs0KpZLaU-kC0IksyfvCAL7O" TargetMode="External"/><Relationship Id="rId219" Type="http://schemas.openxmlformats.org/officeDocument/2006/relationships/hyperlink" Target="https://drive.google.com/open?id=1wm8b-h7PJkeE4Myv6e3edyY3fDdswvlm" TargetMode="External"/><Relationship Id="rId218" Type="http://schemas.openxmlformats.org/officeDocument/2006/relationships/hyperlink" Target="https://drive.google.com/open?id=1A9xZaMl0vehhQTKF4fKVRWXb8i4YNvv3" TargetMode="External"/><Relationship Id="rId451" Type="http://schemas.openxmlformats.org/officeDocument/2006/relationships/hyperlink" Target="https://drive.google.com/open?id=1VRjd5iIXbcjrGwhGGT0WNxkEBxz_TLh4" TargetMode="External"/><Relationship Id="rId693" Type="http://schemas.openxmlformats.org/officeDocument/2006/relationships/hyperlink" Target="https://drive.google.com/open?id=1rIzjeXgUiFGtvfQlLQvL92qW3LfchncA" TargetMode="External"/><Relationship Id="rId1040" Type="http://schemas.openxmlformats.org/officeDocument/2006/relationships/hyperlink" Target="https://drive.google.com/open?id=1wZrFCbLFCiZv9lLGWWibknMAl-kT1Ri_" TargetMode="External"/><Relationship Id="rId450" Type="http://schemas.openxmlformats.org/officeDocument/2006/relationships/hyperlink" Target="https://drive.google.com/open?id=1D1Rgw6a9sa-wasIOchledmkkSbctZg2X" TargetMode="External"/><Relationship Id="rId692" Type="http://schemas.openxmlformats.org/officeDocument/2006/relationships/hyperlink" Target="https://drive.google.com/open?id=1NV97-731RYCp_tHlms-l8xsiHWGtB8uU" TargetMode="External"/><Relationship Id="rId1041" Type="http://schemas.openxmlformats.org/officeDocument/2006/relationships/hyperlink" Target="https://drive.google.com/open?id=1M_aebPMGCHNTuQot34yFc2h38dgyMrBV" TargetMode="External"/><Relationship Id="rId691" Type="http://schemas.openxmlformats.org/officeDocument/2006/relationships/hyperlink" Target="https://drive.google.com/open?id=1OJfgBJqWgx_1yNarDceXSaglLbxquEBc" TargetMode="External"/><Relationship Id="rId1042" Type="http://schemas.openxmlformats.org/officeDocument/2006/relationships/hyperlink" Target="https://drive.google.com/open?id=1C7KT33MHIhfTdrAcBcgyC3ZbhzK-Rjjx" TargetMode="External"/><Relationship Id="rId690" Type="http://schemas.openxmlformats.org/officeDocument/2006/relationships/hyperlink" Target="https://drive.google.com/open?id=1tuFMiEduhhB9K2VTAks7QvNXaCGhE0Py" TargetMode="External"/><Relationship Id="rId1043" Type="http://schemas.openxmlformats.org/officeDocument/2006/relationships/hyperlink" Target="https://drive.google.com/open?id=1fhaIqThWsT0iNS2NieyYc0gu4OmZ5Pjq" TargetMode="External"/><Relationship Id="rId213" Type="http://schemas.openxmlformats.org/officeDocument/2006/relationships/hyperlink" Target="https://drive.google.com/open?id=17SvNrBWqeaJZMl8I21YXQHYisLbSbS_G" TargetMode="External"/><Relationship Id="rId455" Type="http://schemas.openxmlformats.org/officeDocument/2006/relationships/hyperlink" Target="https://drive.google.com/open?id=1edDy9X6_JdZm6DiMq2xhj8KvMKxCVT-b" TargetMode="External"/><Relationship Id="rId697" Type="http://schemas.openxmlformats.org/officeDocument/2006/relationships/hyperlink" Target="https://drive.google.com/open?id=18n86-jhd7QAPsIk7mzouLB8gABiBgieC" TargetMode="External"/><Relationship Id="rId1044" Type="http://schemas.openxmlformats.org/officeDocument/2006/relationships/hyperlink" Target="https://drive.google.com/open?id=19T-4vVjHSyljpquMu3WuFCP-l5q0WGYi" TargetMode="External"/><Relationship Id="rId212" Type="http://schemas.openxmlformats.org/officeDocument/2006/relationships/hyperlink" Target="https://drive.google.com/open?id=1GodmR3NyjjA_KvSBJjOgE9SbWcWHkZz0" TargetMode="External"/><Relationship Id="rId454" Type="http://schemas.openxmlformats.org/officeDocument/2006/relationships/hyperlink" Target="https://drive.google.com/open?id=1vP-u7x-mO9JcxiAjwj0HaEAqOB11FSo1" TargetMode="External"/><Relationship Id="rId696" Type="http://schemas.openxmlformats.org/officeDocument/2006/relationships/hyperlink" Target="https://drive.google.com/open?id=1GqVZNreH12zoHQG08eRx3ylsQq11DVyB" TargetMode="External"/><Relationship Id="rId1045" Type="http://schemas.openxmlformats.org/officeDocument/2006/relationships/hyperlink" Target="https://drive.google.com/open?id=14cdZiYPjWBihXZNWbO7S-4YAHh25edeD" TargetMode="External"/><Relationship Id="rId211" Type="http://schemas.openxmlformats.org/officeDocument/2006/relationships/hyperlink" Target="https://drive.google.com/open?id=1sz-ZhYDMUZfAAdoHyfJjOJFBAeJT4N36" TargetMode="External"/><Relationship Id="rId453" Type="http://schemas.openxmlformats.org/officeDocument/2006/relationships/hyperlink" Target="https://drive.google.com/open?id=1wjLIza2MfzHOXetBtpsqJhnW9OFUe3i-" TargetMode="External"/><Relationship Id="rId695" Type="http://schemas.openxmlformats.org/officeDocument/2006/relationships/hyperlink" Target="https://drive.google.com/open?id=1vAWbRDMn7eQbgoES1hIi0Cev8ljN68Tu" TargetMode="External"/><Relationship Id="rId1046" Type="http://schemas.openxmlformats.org/officeDocument/2006/relationships/hyperlink" Target="https://drive.google.com/open?id=1Ftvw-J38_ff1Qmp1J4ZaOT04l9w9ef-k" TargetMode="External"/><Relationship Id="rId210" Type="http://schemas.openxmlformats.org/officeDocument/2006/relationships/hyperlink" Target="https://drive.google.com/open?id=1nYaLDZqBFqNGv428lKg7RkaZ0Jo8Dq_0" TargetMode="External"/><Relationship Id="rId452" Type="http://schemas.openxmlformats.org/officeDocument/2006/relationships/hyperlink" Target="https://drive.google.com/open?id=13cLSQsiaaP5-XzBD0hlR5NVKgrpVldU2" TargetMode="External"/><Relationship Id="rId694" Type="http://schemas.openxmlformats.org/officeDocument/2006/relationships/hyperlink" Target="https://drive.google.com/open?id=18KgnqOrJoW6whm1FTJWCUs2QOTGw7VgA" TargetMode="External"/><Relationship Id="rId1047" Type="http://schemas.openxmlformats.org/officeDocument/2006/relationships/hyperlink" Target="https://drive.google.com/open?id=1yItAbdA6RmBNFLe_sEouzGUU-MgWdnhJ" TargetMode="External"/><Relationship Id="rId491" Type="http://schemas.openxmlformats.org/officeDocument/2006/relationships/hyperlink" Target="https://drive.google.com/open?id=1g8RI0Ylf8cwnIYjXTd9VTBtHxKuBycco" TargetMode="External"/><Relationship Id="rId490" Type="http://schemas.openxmlformats.org/officeDocument/2006/relationships/hyperlink" Target="https://drive.google.com/open?id=1WdoMVy-f2TYbQVD3F6sMr6nqm5s41xcx" TargetMode="External"/><Relationship Id="rId249" Type="http://schemas.openxmlformats.org/officeDocument/2006/relationships/hyperlink" Target="https://drive.google.com/open?id=1L2ADzyibs2ai3WwaehfkwbofX1qX90kK" TargetMode="External"/><Relationship Id="rId248" Type="http://schemas.openxmlformats.org/officeDocument/2006/relationships/hyperlink" Target="https://drive.google.com/open?id=1_NdIyGTryYyXjg605OvSwj5N9sfpb6We" TargetMode="External"/><Relationship Id="rId247" Type="http://schemas.openxmlformats.org/officeDocument/2006/relationships/hyperlink" Target="https://drive.google.com/open?id=1AE8FlN-R7yqRepnT2Q4Cu2WylkCuAVJ7" TargetMode="External"/><Relationship Id="rId489" Type="http://schemas.openxmlformats.org/officeDocument/2006/relationships/hyperlink" Target="https://drive.google.com/open?id=1y9auqtBWF_CXZlp9cJf_HXDo5taEdYiE" TargetMode="External"/><Relationship Id="rId242" Type="http://schemas.openxmlformats.org/officeDocument/2006/relationships/hyperlink" Target="https://drive.google.com/open?id=1Gw8eqpQR4HKyUgpHwypl5LzlcHAhvSIC" TargetMode="External"/><Relationship Id="rId484" Type="http://schemas.openxmlformats.org/officeDocument/2006/relationships/hyperlink" Target="https://drive.google.com/open?id=1DT7ImcXCNdM7NuZOARdaxrVEXS1gXo0T" TargetMode="External"/><Relationship Id="rId241" Type="http://schemas.openxmlformats.org/officeDocument/2006/relationships/hyperlink" Target="https://drive.google.com/open?id=1lwy4GJ7rV0uB6ccZwVW1uAFRUMedZa93" TargetMode="External"/><Relationship Id="rId483" Type="http://schemas.openxmlformats.org/officeDocument/2006/relationships/hyperlink" Target="https://drive.google.com/open?id=1BTuCI1v8WpzPCaJ3_yCUvsaWSQeTbDxb" TargetMode="External"/><Relationship Id="rId240" Type="http://schemas.openxmlformats.org/officeDocument/2006/relationships/hyperlink" Target="https://drive.google.com/open?id=1cgEcREWcaIPy9IxkRBXTGG5OaDiYrzh1" TargetMode="External"/><Relationship Id="rId482" Type="http://schemas.openxmlformats.org/officeDocument/2006/relationships/hyperlink" Target="https://drive.google.com/open?id=1INCzQnKOV6O1E6o8QiR6IenBqTPgHnxp" TargetMode="External"/><Relationship Id="rId481" Type="http://schemas.openxmlformats.org/officeDocument/2006/relationships/hyperlink" Target="https://drive.google.com/open?id=1UgnKLBNbVggw4MBJvqwHWArg069w4IcL" TargetMode="External"/><Relationship Id="rId246" Type="http://schemas.openxmlformats.org/officeDocument/2006/relationships/hyperlink" Target="https://drive.google.com/open?id=1ucs_nia8AZLA_9maO8Mn5-Qyv9pNUG4Y" TargetMode="External"/><Relationship Id="rId488" Type="http://schemas.openxmlformats.org/officeDocument/2006/relationships/hyperlink" Target="https://drive.google.com/open?id=1hOiUXktQ1-HtKWD2JIulAmkpAxBawy01" TargetMode="External"/><Relationship Id="rId245" Type="http://schemas.openxmlformats.org/officeDocument/2006/relationships/hyperlink" Target="https://drive.google.com/open?id=1a1h63WcGylLqso2jBvhe3DaTcqWUvWso" TargetMode="External"/><Relationship Id="rId487" Type="http://schemas.openxmlformats.org/officeDocument/2006/relationships/hyperlink" Target="https://drive.google.com/open?id=1J-LyreV4MXguaGPGOJJsgc4maTC_2EY3" TargetMode="External"/><Relationship Id="rId244" Type="http://schemas.openxmlformats.org/officeDocument/2006/relationships/hyperlink" Target="https://drive.google.com/open?id=1alnMNk8Nmovc-fDmrl5m2sUy09xttF4p" TargetMode="External"/><Relationship Id="rId486" Type="http://schemas.openxmlformats.org/officeDocument/2006/relationships/hyperlink" Target="https://drive.google.com/open?id=1rcXwwgKR1BPLMtzWtJNeTls6ItpRINEc" TargetMode="External"/><Relationship Id="rId243" Type="http://schemas.openxmlformats.org/officeDocument/2006/relationships/hyperlink" Target="https://drive.google.com/open?id=1wyWG0-SMwz8YBAP5wULGGa2MRkXk12xt" TargetMode="External"/><Relationship Id="rId485" Type="http://schemas.openxmlformats.org/officeDocument/2006/relationships/hyperlink" Target="https://drive.google.com/open?id=1_Q1RfV-SQQ664l0a3iANLM_9sNdob_n4" TargetMode="External"/><Relationship Id="rId480" Type="http://schemas.openxmlformats.org/officeDocument/2006/relationships/hyperlink" Target="https://drive.google.com/open?id=1qX5aEK0mwnHuAYeSdGCv3w86uVme5aJT" TargetMode="External"/><Relationship Id="rId239" Type="http://schemas.openxmlformats.org/officeDocument/2006/relationships/hyperlink" Target="https://drive.google.com/open?id=1ulUaG1k-jjnhH_0jW-Gv_J0vCtGi0soW" TargetMode="External"/><Relationship Id="rId238" Type="http://schemas.openxmlformats.org/officeDocument/2006/relationships/hyperlink" Target="https://drive.google.com/open?id=1p7M5ZRJw4oeFt7AfMMgpwGjSLO2vYino" TargetMode="External"/><Relationship Id="rId237" Type="http://schemas.openxmlformats.org/officeDocument/2006/relationships/hyperlink" Target="https://drive.google.com/open?id=1AkzV7vf3ywk_sSPOFR6Zdd51xjrZEwBW" TargetMode="External"/><Relationship Id="rId479" Type="http://schemas.openxmlformats.org/officeDocument/2006/relationships/hyperlink" Target="https://drive.google.com/open?id=1FI25XqDvJ2Y0dfVKSHAToSQV6udQHh7c" TargetMode="External"/><Relationship Id="rId236" Type="http://schemas.openxmlformats.org/officeDocument/2006/relationships/hyperlink" Target="https://drive.google.com/open?id=1Gfp2McnJSNCFUQNoQGM2dU9SLMPcterN" TargetMode="External"/><Relationship Id="rId478" Type="http://schemas.openxmlformats.org/officeDocument/2006/relationships/hyperlink" Target="https://drive.google.com/open?id=1Z3DKGH_sKUWgpeI86CoJ8Dp966Y2WCta" TargetMode="External"/><Relationship Id="rId1060" Type="http://schemas.openxmlformats.org/officeDocument/2006/relationships/drawing" Target="../drawings/drawing1.xml"/><Relationship Id="rId231" Type="http://schemas.openxmlformats.org/officeDocument/2006/relationships/hyperlink" Target="https://drive.google.com/open?id=1E6uSQWGYJL0jQNnTIAeRNYzMt_GXqUwT" TargetMode="External"/><Relationship Id="rId473" Type="http://schemas.openxmlformats.org/officeDocument/2006/relationships/hyperlink" Target="https://drive.google.com/open?id=16TthssLPWY9XnDUS7GVZb94n0yNzhKQy" TargetMode="External"/><Relationship Id="rId1062" Type="http://schemas.openxmlformats.org/officeDocument/2006/relationships/table" Target="../tables/table1.xml"/><Relationship Id="rId230" Type="http://schemas.openxmlformats.org/officeDocument/2006/relationships/hyperlink" Target="https://drive.google.com/open?id=1y4p7vX4Pk6geRCvZ8U8nENVutTV7FX9_" TargetMode="External"/><Relationship Id="rId472" Type="http://schemas.openxmlformats.org/officeDocument/2006/relationships/hyperlink" Target="https://drive.google.com/open?id=1sJbECN7pmveUdRIniqthSEpTtXe5r9qV" TargetMode="External"/><Relationship Id="rId471" Type="http://schemas.openxmlformats.org/officeDocument/2006/relationships/hyperlink" Target="https://drive.google.com/open?id=1rrpXQXkZWbYChBZ3VwNYKtrGXywkxtkI" TargetMode="External"/><Relationship Id="rId470" Type="http://schemas.openxmlformats.org/officeDocument/2006/relationships/hyperlink" Target="https://drive.google.com/open?id=1O8m8kz7ueaDi7WzndHocYfpc_WsobrS9" TargetMode="External"/><Relationship Id="rId235" Type="http://schemas.openxmlformats.org/officeDocument/2006/relationships/hyperlink" Target="https://drive.google.com/open?id=1BnaR3B-bZC22Uaypg5u5Zyj2R0pPnEhy" TargetMode="External"/><Relationship Id="rId477" Type="http://schemas.openxmlformats.org/officeDocument/2006/relationships/hyperlink" Target="https://drive.google.com/open?id=1NWg6ShUPFU3CpKeD2fkfu_E0O6W_vlzB" TargetMode="External"/><Relationship Id="rId234" Type="http://schemas.openxmlformats.org/officeDocument/2006/relationships/hyperlink" Target="https://drive.google.com/open?id=1iL1ZKafcQiSyXAGRLEgohjjb172UZkOa" TargetMode="External"/><Relationship Id="rId476" Type="http://schemas.openxmlformats.org/officeDocument/2006/relationships/hyperlink" Target="https://drive.google.com/open?id=1I76oytP3I5ViVog2rrmmakfRAja_N59B" TargetMode="External"/><Relationship Id="rId233" Type="http://schemas.openxmlformats.org/officeDocument/2006/relationships/hyperlink" Target="https://drive.google.com/open?id=1YG_8gHWBswwMXYVUyx8d38SzRIrB2i3Z" TargetMode="External"/><Relationship Id="rId475" Type="http://schemas.openxmlformats.org/officeDocument/2006/relationships/hyperlink" Target="https://drive.google.com/open?id=1VidNgaluB1TiK7jAQPVCQr1sZhGfr-T_" TargetMode="External"/><Relationship Id="rId232" Type="http://schemas.openxmlformats.org/officeDocument/2006/relationships/hyperlink" Target="https://drive.google.com/open?id=1vb3nuUq-osqGOFt3d4rNQNe-GGEpmo55" TargetMode="External"/><Relationship Id="rId474" Type="http://schemas.openxmlformats.org/officeDocument/2006/relationships/hyperlink" Target="https://drive.google.com/open?id=1ycOECg9bnikD5A7XvULom39wReqV7l5a" TargetMode="External"/><Relationship Id="rId1015" Type="http://schemas.openxmlformats.org/officeDocument/2006/relationships/hyperlink" Target="https://drive.google.com/open?id=1m_6nd_DXh33jiNRe1HIoLjqIJt9jqaWc" TargetMode="External"/><Relationship Id="rId1016" Type="http://schemas.openxmlformats.org/officeDocument/2006/relationships/hyperlink" Target="https://drive.google.com/open?id=1z6w9-XiAX0ymECKPZj5jCBnt3CaqwZeY" TargetMode="External"/><Relationship Id="rId1017" Type="http://schemas.openxmlformats.org/officeDocument/2006/relationships/hyperlink" Target="https://drive.google.com/open?id=1OK0ai0aREZfVO1zMi-IDmJpRZ5Byg1S8" TargetMode="External"/><Relationship Id="rId1018" Type="http://schemas.openxmlformats.org/officeDocument/2006/relationships/hyperlink" Target="https://drive.google.com/open?id=1qyc8piLCOfpjEZydVAPNKhH_gELx2w7Y" TargetMode="External"/><Relationship Id="rId1019" Type="http://schemas.openxmlformats.org/officeDocument/2006/relationships/hyperlink" Target="https://drive.google.com/open?id=1YBq7h1e-diVS92unk6P8MPlUHEVk3Dst" TargetMode="External"/><Relationship Id="rId426" Type="http://schemas.openxmlformats.org/officeDocument/2006/relationships/hyperlink" Target="https://drive.google.com/open?id=1tASHlMxIUEUeCMB22ATpsh0XOkLLOKOM" TargetMode="External"/><Relationship Id="rId668" Type="http://schemas.openxmlformats.org/officeDocument/2006/relationships/hyperlink" Target="https://drive.google.com/open?id=1vimRIcjkmOKto9jK5mTpu7sBXx6CcE8j" TargetMode="External"/><Relationship Id="rId425" Type="http://schemas.openxmlformats.org/officeDocument/2006/relationships/hyperlink" Target="https://drive.google.com/open?id=1SruYOICP7VCNJlcHvZ1pB3plhjo9jctM" TargetMode="External"/><Relationship Id="rId667" Type="http://schemas.openxmlformats.org/officeDocument/2006/relationships/hyperlink" Target="https://drive.google.com/open?id=1cLDgJX2X5MtPlWDyG05tbfrO0GgrnVus" TargetMode="External"/><Relationship Id="rId424" Type="http://schemas.openxmlformats.org/officeDocument/2006/relationships/hyperlink" Target="https://drive.google.com/open?id=1sHVzg_GgUrbSztZut8l6-XZWL1lubPTq" TargetMode="External"/><Relationship Id="rId666" Type="http://schemas.openxmlformats.org/officeDocument/2006/relationships/hyperlink" Target="https://drive.google.com/open?id=15dVfC5cXkLyvw3OuMvDc3M97SiVENcBK" TargetMode="External"/><Relationship Id="rId423" Type="http://schemas.openxmlformats.org/officeDocument/2006/relationships/hyperlink" Target="https://drive.google.com/open?id=1Y7Ig2_BBv7vnhpgGEBLQE8Iu8DE-7hFj" TargetMode="External"/><Relationship Id="rId665" Type="http://schemas.openxmlformats.org/officeDocument/2006/relationships/hyperlink" Target="https://drive.google.com/open?id=1xsSDekTtJCt8CjdAqburcpyt5MxVXLS_" TargetMode="External"/><Relationship Id="rId429" Type="http://schemas.openxmlformats.org/officeDocument/2006/relationships/hyperlink" Target="https://drive.google.com/open?id=16lXxVptAA-wc6Oo3-7BmJxlmQs2-7RX2" TargetMode="External"/><Relationship Id="rId428" Type="http://schemas.openxmlformats.org/officeDocument/2006/relationships/hyperlink" Target="https://drive.google.com/open?id=1Kb90YEVPbjXy1Yaxe8qaMIeW-ZHdn9XV" TargetMode="External"/><Relationship Id="rId427" Type="http://schemas.openxmlformats.org/officeDocument/2006/relationships/hyperlink" Target="https://drive.google.com/open?id=1Z9-IvBTZZnMoFxznKCNiozckkTqkb_Hp" TargetMode="External"/><Relationship Id="rId669" Type="http://schemas.openxmlformats.org/officeDocument/2006/relationships/hyperlink" Target="https://drive.google.com/open?id=1BLUojfw7bjnaX51bTp5jnf_UpEwrfm4r" TargetMode="External"/><Relationship Id="rId660" Type="http://schemas.openxmlformats.org/officeDocument/2006/relationships/hyperlink" Target="https://drive.google.com/open?id=1b3Xe80yU4a9qs1_nuSETSNAcqJz0uR0h" TargetMode="External"/><Relationship Id="rId1010" Type="http://schemas.openxmlformats.org/officeDocument/2006/relationships/hyperlink" Target="https://drive.google.com/open?id=1dNF5wVlpDf7hyj9zTIbVuZE8G8UkPH8n" TargetMode="External"/><Relationship Id="rId422" Type="http://schemas.openxmlformats.org/officeDocument/2006/relationships/hyperlink" Target="https://drive.google.com/open?id=1w40saf8JdHcBM1XWT2_TtdX5Mt3-CEIx" TargetMode="External"/><Relationship Id="rId664" Type="http://schemas.openxmlformats.org/officeDocument/2006/relationships/hyperlink" Target="https://drive.google.com/open?id=1Ho0rutOQ6-AdytbJKjPWDGtbYhwotrc1" TargetMode="External"/><Relationship Id="rId1011" Type="http://schemas.openxmlformats.org/officeDocument/2006/relationships/hyperlink" Target="https://drive.google.com/open?id=1vyJnhC23wg89LuoDHFJU4QIMiV1iNhba" TargetMode="External"/><Relationship Id="rId421" Type="http://schemas.openxmlformats.org/officeDocument/2006/relationships/hyperlink" Target="https://drive.google.com/open?id=1Uf9leQN_yQ7Es_v59cuHDCXKMki2pi-t" TargetMode="External"/><Relationship Id="rId663" Type="http://schemas.openxmlformats.org/officeDocument/2006/relationships/hyperlink" Target="https://drive.google.com/open?id=14JVHRPBY55AXBurDSpe1NGu3cjmSAUba" TargetMode="External"/><Relationship Id="rId1012" Type="http://schemas.openxmlformats.org/officeDocument/2006/relationships/hyperlink" Target="https://drive.google.com/open?id=1HwijsMMPPBIxUN8CeE_8qePKjBN3ZgIU" TargetMode="External"/><Relationship Id="rId420" Type="http://schemas.openxmlformats.org/officeDocument/2006/relationships/hyperlink" Target="https://drive.google.com/open?id=1GVUsCy0OLfbvo2vuOGGa8qG4jLku99RT" TargetMode="External"/><Relationship Id="rId662" Type="http://schemas.openxmlformats.org/officeDocument/2006/relationships/hyperlink" Target="https://drive.google.com/open?id=1IZO6s4uv9-55Ov-iws-Whm43ITXDkn-w" TargetMode="External"/><Relationship Id="rId1013" Type="http://schemas.openxmlformats.org/officeDocument/2006/relationships/hyperlink" Target="https://drive.google.com/open?id=1hEZ4-LU-NwQkwUno7E4E8HgFfE51mP9c" TargetMode="External"/><Relationship Id="rId661" Type="http://schemas.openxmlformats.org/officeDocument/2006/relationships/hyperlink" Target="https://drive.google.com/open?id=1xfqBHMFYQgDGNWeW51LuUORHtovBpIBS" TargetMode="External"/><Relationship Id="rId1014" Type="http://schemas.openxmlformats.org/officeDocument/2006/relationships/hyperlink" Target="https://drive.google.com/open?id=18CTRPs9NXkbF2VkaXSrmHpN21cc245m0" TargetMode="External"/><Relationship Id="rId1004" Type="http://schemas.openxmlformats.org/officeDocument/2006/relationships/hyperlink" Target="https://drive.google.com/open?id=13FMMYj9Ntne_Jqob0HIOFHZVqvptgftP" TargetMode="External"/><Relationship Id="rId1005" Type="http://schemas.openxmlformats.org/officeDocument/2006/relationships/hyperlink" Target="https://drive.google.com/open?id=1XMBybar2UfhwLNdzgvlCuVWfdIJYaPax" TargetMode="External"/><Relationship Id="rId1006" Type="http://schemas.openxmlformats.org/officeDocument/2006/relationships/hyperlink" Target="https://drive.google.com/open?id=1dHl6EEpeU6Eym6cVie7hKrygDd2pAHuC" TargetMode="External"/><Relationship Id="rId1007" Type="http://schemas.openxmlformats.org/officeDocument/2006/relationships/hyperlink" Target="https://drive.google.com/open?id=1GX9VYt6-4ZLDwKVMRZARK1Eo_7S1TW01" TargetMode="External"/><Relationship Id="rId1008" Type="http://schemas.openxmlformats.org/officeDocument/2006/relationships/hyperlink" Target="https://drive.google.com/open?id=1q_43vlc1HNJ8SHolwlymAck9k_BNS6AB" TargetMode="External"/><Relationship Id="rId1009" Type="http://schemas.openxmlformats.org/officeDocument/2006/relationships/hyperlink" Target="https://drive.google.com/open?id=1W4TfqylxLMND_4v2xkwUnRijeV5y9bjO" TargetMode="External"/><Relationship Id="rId415" Type="http://schemas.openxmlformats.org/officeDocument/2006/relationships/hyperlink" Target="https://drive.google.com/open?id=1yCubjwI_uEkYPmgICsPr9Ytd-KYOQsHD" TargetMode="External"/><Relationship Id="rId657" Type="http://schemas.openxmlformats.org/officeDocument/2006/relationships/hyperlink" Target="https://drive.google.com/open?id=1VnplvIH-vTtNcnbXJBaI4z9lzaHAzKGJ" TargetMode="External"/><Relationship Id="rId899" Type="http://schemas.openxmlformats.org/officeDocument/2006/relationships/hyperlink" Target="https://drive.google.com/open?id=12CFjR_oJKg8Z6-BOhwiptnAvAy1d8dC7" TargetMode="External"/><Relationship Id="rId414" Type="http://schemas.openxmlformats.org/officeDocument/2006/relationships/hyperlink" Target="https://drive.google.com/open?id=1vhXuNhW5CbOTkAaHCvWofwWyoxIDm1BB" TargetMode="External"/><Relationship Id="rId656" Type="http://schemas.openxmlformats.org/officeDocument/2006/relationships/hyperlink" Target="https://drive.google.com/open?id=1b7dULY4GjnakFyOqBtSS39cHTCs9AYCB" TargetMode="External"/><Relationship Id="rId898" Type="http://schemas.openxmlformats.org/officeDocument/2006/relationships/hyperlink" Target="https://drive.google.com/open?id=1U5DgSaFozJRHuQK3czgoi-Cv3jQuYrjG" TargetMode="External"/><Relationship Id="rId413" Type="http://schemas.openxmlformats.org/officeDocument/2006/relationships/hyperlink" Target="https://drive.google.com/open?id=1Ohe9Th_yyHI2fJOg5SkbNIbpcufmHLZg" TargetMode="External"/><Relationship Id="rId655" Type="http://schemas.openxmlformats.org/officeDocument/2006/relationships/hyperlink" Target="https://drive.google.com/open?id=1QKtRo_drxYth7g5GrWJaoRYLb6wugMeo" TargetMode="External"/><Relationship Id="rId897" Type="http://schemas.openxmlformats.org/officeDocument/2006/relationships/hyperlink" Target="https://drive.google.com/open?id=1amBpFJOFjL45Gaajw0cR436vb8TkL91U" TargetMode="External"/><Relationship Id="rId412" Type="http://schemas.openxmlformats.org/officeDocument/2006/relationships/hyperlink" Target="https://drive.google.com/open?id=1Ja4FZhYt5TjNiginLap02V7z3b2C8DDB" TargetMode="External"/><Relationship Id="rId654" Type="http://schemas.openxmlformats.org/officeDocument/2006/relationships/hyperlink" Target="https://drive.google.com/open?id=1ek_XXsKymGUxNG9UFYTPCxAq6fHhy1lr" TargetMode="External"/><Relationship Id="rId896" Type="http://schemas.openxmlformats.org/officeDocument/2006/relationships/hyperlink" Target="https://drive.google.com/open?id=15Gipe-7PU4gRLMBfEKhsH_ywnTR_9ctE" TargetMode="External"/><Relationship Id="rId419" Type="http://schemas.openxmlformats.org/officeDocument/2006/relationships/hyperlink" Target="https://drive.google.com/open?id=1RdwMYw7_ev87MejexYaEyDRksQ-gOcq2" TargetMode="External"/><Relationship Id="rId418" Type="http://schemas.openxmlformats.org/officeDocument/2006/relationships/hyperlink" Target="https://drive.google.com/open?id=1P2G6UToZ-6XWuQ5qKNbFg04moj6VJaPz" TargetMode="External"/><Relationship Id="rId417" Type="http://schemas.openxmlformats.org/officeDocument/2006/relationships/hyperlink" Target="https://drive.google.com/open?id=1MtNxuHoAuJhh3fE2884VHkwWSxF_gITJ" TargetMode="External"/><Relationship Id="rId659" Type="http://schemas.openxmlformats.org/officeDocument/2006/relationships/hyperlink" Target="https://drive.google.com/open?id=1pl1hJELtU06IA9nOZgW5JAGU3t9U1jFm" TargetMode="External"/><Relationship Id="rId416" Type="http://schemas.openxmlformats.org/officeDocument/2006/relationships/hyperlink" Target="https://drive.google.com/open?id=1CeaSJwVFVCQU71n0UICnVYnmYlMIns4Z" TargetMode="External"/><Relationship Id="rId658" Type="http://schemas.openxmlformats.org/officeDocument/2006/relationships/hyperlink" Target="https://drive.google.com/open?id=1MAdTeaycuHQg8xVZfumY9RX_56EXoq2S" TargetMode="External"/><Relationship Id="rId891" Type="http://schemas.openxmlformats.org/officeDocument/2006/relationships/hyperlink" Target="https://drive.google.com/open?id=11SMb5CeLktZ4UFry582jv7aj9hI3PsIU" TargetMode="External"/><Relationship Id="rId890" Type="http://schemas.openxmlformats.org/officeDocument/2006/relationships/hyperlink" Target="https://drive.google.com/open?id=1hyNWzNHRCU8O371_fcRx9OqFtgPKTdGt" TargetMode="External"/><Relationship Id="rId411" Type="http://schemas.openxmlformats.org/officeDocument/2006/relationships/hyperlink" Target="https://drive.google.com/open?id=1Uxf6DAkMQtraGezHHckaVwbPtIh6L32r" TargetMode="External"/><Relationship Id="rId653" Type="http://schemas.openxmlformats.org/officeDocument/2006/relationships/hyperlink" Target="https://drive.google.com/open?id=1BdveCR_58w2b7bUgdT4jc9d8jG5nXXQ4" TargetMode="External"/><Relationship Id="rId895" Type="http://schemas.openxmlformats.org/officeDocument/2006/relationships/hyperlink" Target="https://drive.google.com/open?id=1PL8h4mfQcGBR7RzYJiEU5HdqmcqgL83b" TargetMode="External"/><Relationship Id="rId1000" Type="http://schemas.openxmlformats.org/officeDocument/2006/relationships/hyperlink" Target="https://drive.google.com/open?id=1dE4g4vsugrCTVqcfaPhO4aLnSVnP60fl" TargetMode="External"/><Relationship Id="rId410" Type="http://schemas.openxmlformats.org/officeDocument/2006/relationships/hyperlink" Target="https://drive.google.com/open?id=1zhjPP_QKld6q7g4SQcle3U5mTgWS137K" TargetMode="External"/><Relationship Id="rId652" Type="http://schemas.openxmlformats.org/officeDocument/2006/relationships/hyperlink" Target="https://drive.google.com/open?id=1pywdz6HqZ2A8O9gav0xE1qkiB2rvDJtP" TargetMode="External"/><Relationship Id="rId894" Type="http://schemas.openxmlformats.org/officeDocument/2006/relationships/hyperlink" Target="https://drive.google.com/open?id=1tvbeAQmhQm2A7JyyoD-9B31e9ehfryoY" TargetMode="External"/><Relationship Id="rId1001" Type="http://schemas.openxmlformats.org/officeDocument/2006/relationships/hyperlink" Target="https://drive.google.com/open?id=1uSArLKheax6uh5hHKCFLZP3DvUc0Nc86" TargetMode="External"/><Relationship Id="rId651" Type="http://schemas.openxmlformats.org/officeDocument/2006/relationships/hyperlink" Target="https://drive.google.com/open?id=1wLFcwO1M2WiDrRzkPu2PJrptch_Cqk3k" TargetMode="External"/><Relationship Id="rId893" Type="http://schemas.openxmlformats.org/officeDocument/2006/relationships/hyperlink" Target="https://drive.google.com/open?id=1972hCFjTOZwB1K33fwxG5z5FxXsbgzPf" TargetMode="External"/><Relationship Id="rId1002" Type="http://schemas.openxmlformats.org/officeDocument/2006/relationships/hyperlink" Target="https://drive.google.com/open?id=1bFd5mmak8KYZszMRJMNiWF2StAPMO5CG" TargetMode="External"/><Relationship Id="rId650" Type="http://schemas.openxmlformats.org/officeDocument/2006/relationships/hyperlink" Target="https://drive.google.com/open?id=15UM8SE4GwbsK_RMQuJfHN9K4txQMWbrX" TargetMode="External"/><Relationship Id="rId892" Type="http://schemas.openxmlformats.org/officeDocument/2006/relationships/hyperlink" Target="https://drive.google.com/open?id=1OMoxwHYvAqc0Azfg0eqodwRfeCFk6lyL" TargetMode="External"/><Relationship Id="rId1003" Type="http://schemas.openxmlformats.org/officeDocument/2006/relationships/hyperlink" Target="https://drive.google.com/open?id=14yjfRAVgPf6jjhltfg0yzFCizmUk4N4P" TargetMode="External"/><Relationship Id="rId1037" Type="http://schemas.openxmlformats.org/officeDocument/2006/relationships/hyperlink" Target="https://drive.google.com/open?id=1-84ztx-jemCDVxZbOn8Vtu2ZCA8Gxq68" TargetMode="External"/><Relationship Id="rId1038" Type="http://schemas.openxmlformats.org/officeDocument/2006/relationships/hyperlink" Target="https://drive.google.com/open?id=1swAj3DfnD4RmeK0UCK_khvQrVHd7Gj4O" TargetMode="External"/><Relationship Id="rId1039" Type="http://schemas.openxmlformats.org/officeDocument/2006/relationships/hyperlink" Target="https://drive.google.com/open?id=1ELFD7Akf92fBONtlkvpTa3xC2YS7NM8y" TargetMode="External"/><Relationship Id="rId206" Type="http://schemas.openxmlformats.org/officeDocument/2006/relationships/hyperlink" Target="https://drive.google.com/open?id=1Kdc8TvTpS-6dYCGKyZAw_pmwo5hdswQp" TargetMode="External"/><Relationship Id="rId448" Type="http://schemas.openxmlformats.org/officeDocument/2006/relationships/hyperlink" Target="https://drive.google.com/open?id=15FQJ9v7cR-ibNGebEcTmt5LSAAIXDfas" TargetMode="External"/><Relationship Id="rId205" Type="http://schemas.openxmlformats.org/officeDocument/2006/relationships/hyperlink" Target="https://drive.google.com/open?id=1TvnHjaE9PGuukePVUKUw4HGKVf54cnzF" TargetMode="External"/><Relationship Id="rId447" Type="http://schemas.openxmlformats.org/officeDocument/2006/relationships/hyperlink" Target="https://drive.google.com/open?id=14xOxfuuO6ZVlI2219NDGWK9uUCCJqqCz" TargetMode="External"/><Relationship Id="rId689" Type="http://schemas.openxmlformats.org/officeDocument/2006/relationships/hyperlink" Target="https://drive.google.com/open?id=1nzq_4xRPiibpDG2mhMnwVE1Wa2ZsLVrb" TargetMode="External"/><Relationship Id="rId204" Type="http://schemas.openxmlformats.org/officeDocument/2006/relationships/hyperlink" Target="https://drive.google.com/open?id=1R4aRkM0dREEMJ-30eHHgmjksRv5RgXGx" TargetMode="External"/><Relationship Id="rId446" Type="http://schemas.openxmlformats.org/officeDocument/2006/relationships/hyperlink" Target="https://drive.google.com/open?id=1e_u0BIPOD3KWzpAvQVtIW3HMXD2ftXdc" TargetMode="External"/><Relationship Id="rId688" Type="http://schemas.openxmlformats.org/officeDocument/2006/relationships/hyperlink" Target="https://drive.google.com/open?id=1huHHxo6VISdL4aHZ3fHh23BCe9UYuYbm" TargetMode="External"/><Relationship Id="rId203" Type="http://schemas.openxmlformats.org/officeDocument/2006/relationships/hyperlink" Target="https://drive.google.com/open?id=1UjIPaumJcd_GXCDMfYzqpQiMRHE0KSh0" TargetMode="External"/><Relationship Id="rId445" Type="http://schemas.openxmlformats.org/officeDocument/2006/relationships/hyperlink" Target="https://drive.google.com/open?id=1iLyh1unVPafxTwADAam9wlLbc51uPpmg" TargetMode="External"/><Relationship Id="rId687" Type="http://schemas.openxmlformats.org/officeDocument/2006/relationships/hyperlink" Target="https://drive.google.com/open?id=1ajRVM3-YS6vgTZ3aCKM2oXSIsiC0xMyG" TargetMode="External"/><Relationship Id="rId209" Type="http://schemas.openxmlformats.org/officeDocument/2006/relationships/hyperlink" Target="https://drive.google.com/open?id=1wuwtIDG1ftJAvez5EPYJnBf0KFZN-9u8" TargetMode="External"/><Relationship Id="rId208" Type="http://schemas.openxmlformats.org/officeDocument/2006/relationships/hyperlink" Target="https://drive.google.com/open?id=1nnTJ4lnqut0gG7hOQ5eQNWMz_46MTd6E" TargetMode="External"/><Relationship Id="rId207" Type="http://schemas.openxmlformats.org/officeDocument/2006/relationships/hyperlink" Target="https://drive.google.com/open?id=1W-Rgxja9TFB0jLmAp_zHigo5FLn4L1AJ" TargetMode="External"/><Relationship Id="rId449" Type="http://schemas.openxmlformats.org/officeDocument/2006/relationships/hyperlink" Target="https://drive.google.com/open?id=10dsyDDrdJQ5m3qePMdq0hKFQ57wEKLD2" TargetMode="External"/><Relationship Id="rId440" Type="http://schemas.openxmlformats.org/officeDocument/2006/relationships/hyperlink" Target="https://drive.google.com/open?id=11U7QglzkZsxu0GYtcTaEZ1x0oH6w99Eo" TargetMode="External"/><Relationship Id="rId682" Type="http://schemas.openxmlformats.org/officeDocument/2006/relationships/hyperlink" Target="https://drive.google.com/open?id=1iBPWUyK-nmpijK6SZlc45bnArVw3QBP4" TargetMode="External"/><Relationship Id="rId681" Type="http://schemas.openxmlformats.org/officeDocument/2006/relationships/hyperlink" Target="https://drive.google.com/open?id=1a3hbJerynkTNz3tU1g3jpPhTWS_Oxikp" TargetMode="External"/><Relationship Id="rId1030" Type="http://schemas.openxmlformats.org/officeDocument/2006/relationships/hyperlink" Target="https://drive.google.com/open?id=1ZXnpZRYb1t1CN_0Vcusaaj-REK5vqml8" TargetMode="External"/><Relationship Id="rId680" Type="http://schemas.openxmlformats.org/officeDocument/2006/relationships/hyperlink" Target="https://drive.google.com/open?id=1aX1kwO8CXcZwJ4wmN6sbWf8MeA7tY-gs" TargetMode="External"/><Relationship Id="rId1031" Type="http://schemas.openxmlformats.org/officeDocument/2006/relationships/hyperlink" Target="https://drive.google.com/open?id=1eJMkNGLfS7jiwzXvEAdPs4eYFfiWAB1G" TargetMode="External"/><Relationship Id="rId1032" Type="http://schemas.openxmlformats.org/officeDocument/2006/relationships/hyperlink" Target="https://drive.google.com/open?id=1ddIlNC_GuQ6Sf6BdvGcEmc2KSLQ7KK9G" TargetMode="External"/><Relationship Id="rId202" Type="http://schemas.openxmlformats.org/officeDocument/2006/relationships/hyperlink" Target="https://drive.google.com/open?id=1WOFc7GpYMpg-VLhx9gJ6WtXreISzoq2f" TargetMode="External"/><Relationship Id="rId444" Type="http://schemas.openxmlformats.org/officeDocument/2006/relationships/hyperlink" Target="https://drive.google.com/open?id=1kNgLpazVt7sQwu6yjxfq9UogpBVb4LxG" TargetMode="External"/><Relationship Id="rId686" Type="http://schemas.openxmlformats.org/officeDocument/2006/relationships/hyperlink" Target="https://drive.google.com/open?id=1ppoY4avcDV-p_OWps4NLRdEM_AJJDOlf" TargetMode="External"/><Relationship Id="rId1033" Type="http://schemas.openxmlformats.org/officeDocument/2006/relationships/hyperlink" Target="https://drive.google.com/open?id=1MkfInyX24pRiFiGcFBXVlz5hP9IWnLJU" TargetMode="External"/><Relationship Id="rId201" Type="http://schemas.openxmlformats.org/officeDocument/2006/relationships/hyperlink" Target="https://drive.google.com/open?id=1V7AH1zwA6EfC7CMSWvv5avWtfsTSuN9f" TargetMode="External"/><Relationship Id="rId443" Type="http://schemas.openxmlformats.org/officeDocument/2006/relationships/hyperlink" Target="https://drive.google.com/open?id=15t2wMlObepkwy8kIJ9bQZ4CagRVF9cJa" TargetMode="External"/><Relationship Id="rId685" Type="http://schemas.openxmlformats.org/officeDocument/2006/relationships/hyperlink" Target="https://drive.google.com/open?id=17I3uMMWk83BxYsWsr47N1Xn-YLSwn4fs" TargetMode="External"/><Relationship Id="rId1034" Type="http://schemas.openxmlformats.org/officeDocument/2006/relationships/hyperlink" Target="https://drive.google.com/open?id=1ULAskByYsOxPeBw-C_a8fvNXkKt94vaS" TargetMode="External"/><Relationship Id="rId200" Type="http://schemas.openxmlformats.org/officeDocument/2006/relationships/hyperlink" Target="https://drive.google.com/open?id=1ONluEtXKHnpOgOUrDWXDgNalYZmVr8Cn" TargetMode="External"/><Relationship Id="rId442" Type="http://schemas.openxmlformats.org/officeDocument/2006/relationships/hyperlink" Target="https://drive.google.com/open?id=17BA6YFhQGiS9rUmZZO7_1J6S2DSwk-Aq" TargetMode="External"/><Relationship Id="rId684" Type="http://schemas.openxmlformats.org/officeDocument/2006/relationships/hyperlink" Target="https://drive.google.com/open?id=1J11WZw4xTe0z226BRqI4L244vaJtZktO" TargetMode="External"/><Relationship Id="rId1035" Type="http://schemas.openxmlformats.org/officeDocument/2006/relationships/hyperlink" Target="https://drive.google.com/open?id=1lXj3XHHS3jz9XC3zbiB3swNb99EbNTwQ" TargetMode="External"/><Relationship Id="rId441" Type="http://schemas.openxmlformats.org/officeDocument/2006/relationships/hyperlink" Target="https://drive.google.com/open?id=1GCdKypIc4SPEYgSUuTgu-NNZzzzpdnU1" TargetMode="External"/><Relationship Id="rId683" Type="http://schemas.openxmlformats.org/officeDocument/2006/relationships/hyperlink" Target="https://drive.google.com/open?id=1aBVahcMLVUq8aCinKkNZtvMNjmfVKGh_" TargetMode="External"/><Relationship Id="rId1036" Type="http://schemas.openxmlformats.org/officeDocument/2006/relationships/hyperlink" Target="https://drive.google.com/open?id=1X_FoEB2THxHt-pHAzilA7ADiaKvWe-eT" TargetMode="External"/><Relationship Id="rId1026" Type="http://schemas.openxmlformats.org/officeDocument/2006/relationships/hyperlink" Target="https://drive.google.com/open?id=1x5fuVaXHxPnUp7h34TyJimSnkt7PAYFm" TargetMode="External"/><Relationship Id="rId1027" Type="http://schemas.openxmlformats.org/officeDocument/2006/relationships/hyperlink" Target="https://drive.google.com/open?id=1OAAWXA69d78tsVAUdKy5-nAwTnrM4h9C" TargetMode="External"/><Relationship Id="rId1028" Type="http://schemas.openxmlformats.org/officeDocument/2006/relationships/hyperlink" Target="https://drive.google.com/open?id=1xhukwLg-MK5sJ59551q47b0qF6LWFzEM" TargetMode="External"/><Relationship Id="rId1029" Type="http://schemas.openxmlformats.org/officeDocument/2006/relationships/hyperlink" Target="https://drive.google.com/open?id=15TzpDA9fBBQKAVXu9QH7_hmLbZLYDZfa" TargetMode="External"/><Relationship Id="rId437" Type="http://schemas.openxmlformats.org/officeDocument/2006/relationships/hyperlink" Target="http://abdulroufgill77gmail.com" TargetMode="External"/><Relationship Id="rId679" Type="http://schemas.openxmlformats.org/officeDocument/2006/relationships/hyperlink" Target="https://drive.google.com/open?id=1LYqCLOF7UpG32UoXMK9wXltr4Jmh6Uxm" TargetMode="External"/><Relationship Id="rId436" Type="http://schemas.openxmlformats.org/officeDocument/2006/relationships/hyperlink" Target="https://drive.google.com/open?id=10XtA9USa5A-MVhcphLx67KcI56jKGpws" TargetMode="External"/><Relationship Id="rId678" Type="http://schemas.openxmlformats.org/officeDocument/2006/relationships/hyperlink" Target="https://drive.google.com/open?id=19WseYs6w5wkSULZypQQkOzE7QcRMYfxH" TargetMode="External"/><Relationship Id="rId435" Type="http://schemas.openxmlformats.org/officeDocument/2006/relationships/hyperlink" Target="https://drive.google.com/open?id=1QTjgm6dWGaZaZf2RTYepHWPJTnfGXSPi" TargetMode="External"/><Relationship Id="rId677" Type="http://schemas.openxmlformats.org/officeDocument/2006/relationships/hyperlink" Target="https://drive.google.com/open?id=1FcrW4Aigb2N9yYSqIU87coMdFfipwV8e" TargetMode="External"/><Relationship Id="rId434" Type="http://schemas.openxmlformats.org/officeDocument/2006/relationships/hyperlink" Target="https://drive.google.com/open?id=1utuzvy9GgdN7Rh7Y2O21I9ncp6iVflc9" TargetMode="External"/><Relationship Id="rId676" Type="http://schemas.openxmlformats.org/officeDocument/2006/relationships/hyperlink" Target="https://drive.google.com/open?id=1ir7Vf85Vrpb1SClk9tz0DqV41bAaiFuS" TargetMode="External"/><Relationship Id="rId439" Type="http://schemas.openxmlformats.org/officeDocument/2006/relationships/hyperlink" Target="https://drive.google.com/open?id=1ATbbJJJGYJctt2N90E5dMz3MHupGU5-F" TargetMode="External"/><Relationship Id="rId438" Type="http://schemas.openxmlformats.org/officeDocument/2006/relationships/hyperlink" Target="https://drive.google.com/open?id=1ruh8iPdvRx-cLo8R6oDFn-lZdoMcn7DP" TargetMode="External"/><Relationship Id="rId671" Type="http://schemas.openxmlformats.org/officeDocument/2006/relationships/hyperlink" Target="https://drive.google.com/open?id=1MeLlIre1RhYKo2esuVpnzLnW6fljWLhd" TargetMode="External"/><Relationship Id="rId670" Type="http://schemas.openxmlformats.org/officeDocument/2006/relationships/hyperlink" Target="https://drive.google.com/open?id=1ef1vdFK4G5qVDZxXXESTpTIJ0LPPuneB" TargetMode="External"/><Relationship Id="rId1020" Type="http://schemas.openxmlformats.org/officeDocument/2006/relationships/hyperlink" Target="https://drive.google.com/open?id=17pL6Z6irKqiyvESlSGmu0jgSQqOD7a6e" TargetMode="External"/><Relationship Id="rId1021" Type="http://schemas.openxmlformats.org/officeDocument/2006/relationships/hyperlink" Target="https://drive.google.com/open?id=1CR1TipEvGn01UfZA9nnTOkJZQgO6wC0p" TargetMode="External"/><Relationship Id="rId433" Type="http://schemas.openxmlformats.org/officeDocument/2006/relationships/hyperlink" Target="https://drive.google.com/open?id=1WPeQ0wjdulnr0QV6UpyFdhUP5H5cApzw" TargetMode="External"/><Relationship Id="rId675" Type="http://schemas.openxmlformats.org/officeDocument/2006/relationships/hyperlink" Target="https://drive.google.com/open?id=1LECATgS0uBAXm-6-jV_RzSFj3Q18UIqL" TargetMode="External"/><Relationship Id="rId1022" Type="http://schemas.openxmlformats.org/officeDocument/2006/relationships/hyperlink" Target="https://drive.google.com/open?id=1nPQZ65ycxtcQegbtCH0MyvHfUTJ8qQjZ" TargetMode="External"/><Relationship Id="rId432" Type="http://schemas.openxmlformats.org/officeDocument/2006/relationships/hyperlink" Target="https://drive.google.com/open?id=1IWkLX1PQZOFftIKEin37gn01Y8uTww6u" TargetMode="External"/><Relationship Id="rId674" Type="http://schemas.openxmlformats.org/officeDocument/2006/relationships/hyperlink" Target="https://drive.google.com/open?id=1VOMsQd66WlDRRGMFyU4aDoGVINacjF53" TargetMode="External"/><Relationship Id="rId1023" Type="http://schemas.openxmlformats.org/officeDocument/2006/relationships/hyperlink" Target="https://drive.google.com/open?id=15Snnxxg4Do89EPus3FPCB-4lpeoRFz2n" TargetMode="External"/><Relationship Id="rId431" Type="http://schemas.openxmlformats.org/officeDocument/2006/relationships/hyperlink" Target="https://drive.google.com/open?id=1EDiGliAUASNV8c9WRwAZtaSGu4CMivw9" TargetMode="External"/><Relationship Id="rId673" Type="http://schemas.openxmlformats.org/officeDocument/2006/relationships/hyperlink" Target="https://drive.google.com/open?id=1G1wCQgun6P-8gBUH_x7dy42jeJ_hx3ew" TargetMode="External"/><Relationship Id="rId1024" Type="http://schemas.openxmlformats.org/officeDocument/2006/relationships/hyperlink" Target="https://drive.google.com/open?id=1pZQXU6CxCoP1GucX4wbIh8vzqHK7AFmx" TargetMode="External"/><Relationship Id="rId430" Type="http://schemas.openxmlformats.org/officeDocument/2006/relationships/hyperlink" Target="https://drive.google.com/open?id=1MrG2mWyyj24IU80zeOxv_CfZQIGjCq3-" TargetMode="External"/><Relationship Id="rId672" Type="http://schemas.openxmlformats.org/officeDocument/2006/relationships/hyperlink" Target="https://drive.google.com/open?id=1nyDl_4EC4wf1Q891SY5skOExx217dmNV" TargetMode="External"/><Relationship Id="rId1025" Type="http://schemas.openxmlformats.org/officeDocument/2006/relationships/hyperlink" Target="https://drive.google.com/open?id=1zRwWJS65mf--OouW7kxpurmkRKAYJSZ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  <c r="AB1" s="2"/>
      <c r="AC1" s="2"/>
      <c r="AD1" s="2"/>
      <c r="AE1" s="2"/>
      <c r="AF1" s="2"/>
    </row>
    <row r="2" ht="22.5" customHeight="1">
      <c r="A2" s="3">
        <v>46023.43788203703</v>
      </c>
      <c r="B2" s="4" t="s">
        <v>26</v>
      </c>
      <c r="C2" s="4" t="s">
        <v>26</v>
      </c>
      <c r="D2" s="5" t="s">
        <v>27</v>
      </c>
      <c r="E2" s="4" t="str">
        <f t="shared" ref="E2:E383" si="1">"+"&amp;IF(LEFT(SUBSTITUTE(D2," ",""),1)="0","92"&amp;RIGHT(SUBSTITUTE(D2," ",""),LEN(SUBSTITUTE(D2," ",""))-1),SUBSTITUTE(D2," ",""))</f>
        <v>+923254608493</v>
      </c>
      <c r="F2" s="4" t="s">
        <v>28</v>
      </c>
      <c r="G2" s="4" t="s">
        <v>29</v>
      </c>
      <c r="H2" s="4" t="s">
        <v>30</v>
      </c>
      <c r="I2" s="4" t="s">
        <v>30</v>
      </c>
      <c r="J2" s="6" t="str">
        <f>IFERROR(__xludf.DUMMYFUNCTION("TEXT(REGEXREPLACE(I2, ""[^0-9]"", """"), ""00000-0000000-0"")"),"33102-6069775-4")</f>
        <v>33102-6069775-4</v>
      </c>
      <c r="K2" s="7">
        <v>38993.0</v>
      </c>
      <c r="L2" s="4" t="s">
        <v>31</v>
      </c>
      <c r="M2" s="4" t="s">
        <v>32</v>
      </c>
      <c r="N2" s="4" t="s">
        <v>33</v>
      </c>
      <c r="O2" s="8">
        <v>2011692.0</v>
      </c>
      <c r="P2" s="8">
        <v>150.0</v>
      </c>
      <c r="Q2" s="9">
        <v>95.0</v>
      </c>
      <c r="R2" s="4" t="s">
        <v>29</v>
      </c>
      <c r="S2" s="4" t="s">
        <v>34</v>
      </c>
      <c r="T2" s="5" t="s">
        <v>35</v>
      </c>
      <c r="U2" s="4" t="s">
        <v>26</v>
      </c>
      <c r="V2" s="10" t="s">
        <v>36</v>
      </c>
      <c r="W2" s="10" t="s">
        <v>37</v>
      </c>
      <c r="X2" s="10" t="s">
        <v>38</v>
      </c>
      <c r="Y2" s="10" t="s">
        <v>39</v>
      </c>
      <c r="Z2" s="11" t="s">
        <v>40</v>
      </c>
      <c r="AA2" s="2"/>
      <c r="AB2" s="2"/>
      <c r="AC2" s="2"/>
      <c r="AD2" s="2"/>
      <c r="AE2" s="2"/>
      <c r="AF2" s="2"/>
    </row>
    <row r="3" ht="22.5" customHeight="1">
      <c r="A3" s="12">
        <v>46023.43788777778</v>
      </c>
      <c r="B3" s="13" t="s">
        <v>41</v>
      </c>
      <c r="C3" s="13" t="s">
        <v>41</v>
      </c>
      <c r="D3" s="14" t="s">
        <v>42</v>
      </c>
      <c r="E3" s="13" t="str">
        <f t="shared" si="1"/>
        <v>+923443670159</v>
      </c>
      <c r="F3" s="13" t="s">
        <v>43</v>
      </c>
      <c r="G3" s="13" t="s">
        <v>44</v>
      </c>
      <c r="H3" s="13" t="s">
        <v>45</v>
      </c>
      <c r="I3" s="13" t="s">
        <v>45</v>
      </c>
      <c r="J3" s="15" t="str">
        <f>IFERROR(__xludf.DUMMYFUNCTION("TEXT(REGEXREPLACE(I3, ""[^0-9]"", """"), ""00000-0000000-0"")"),"31304-0521576-5")</f>
        <v>31304-0521576-5</v>
      </c>
      <c r="K3" s="16">
        <v>38760.0</v>
      </c>
      <c r="L3" s="13" t="s">
        <v>46</v>
      </c>
      <c r="M3" s="13" t="s">
        <v>47</v>
      </c>
      <c r="N3" s="13" t="s">
        <v>48</v>
      </c>
      <c r="O3" s="17">
        <v>1370411.0</v>
      </c>
      <c r="P3" s="17">
        <v>230.0</v>
      </c>
      <c r="Q3" s="18">
        <v>93.8667</v>
      </c>
      <c r="R3" s="13" t="s">
        <v>49</v>
      </c>
      <c r="S3" s="13" t="s">
        <v>50</v>
      </c>
      <c r="T3" s="14" t="s">
        <v>51</v>
      </c>
      <c r="U3" s="13" t="s">
        <v>41</v>
      </c>
      <c r="V3" s="19" t="s">
        <v>52</v>
      </c>
      <c r="W3" s="19" t="s">
        <v>53</v>
      </c>
      <c r="X3" s="19" t="s">
        <v>54</v>
      </c>
      <c r="Y3" s="19" t="s">
        <v>55</v>
      </c>
      <c r="Z3" s="20" t="s">
        <v>40</v>
      </c>
      <c r="AA3" s="2"/>
      <c r="AB3" s="2"/>
      <c r="AC3" s="2"/>
      <c r="AD3" s="2"/>
      <c r="AE3" s="2"/>
      <c r="AF3" s="2"/>
    </row>
    <row r="4" ht="22.5" customHeight="1">
      <c r="A4" s="3">
        <v>46023.43894731482</v>
      </c>
      <c r="B4" s="4" t="s">
        <v>56</v>
      </c>
      <c r="C4" s="4" t="s">
        <v>56</v>
      </c>
      <c r="D4" s="5" t="s">
        <v>57</v>
      </c>
      <c r="E4" s="4" t="str">
        <f t="shared" si="1"/>
        <v>+923006113678</v>
      </c>
      <c r="F4" s="4" t="s">
        <v>58</v>
      </c>
      <c r="G4" s="4" t="s">
        <v>59</v>
      </c>
      <c r="H4" s="8">
        <v>3.640154406428E12</v>
      </c>
      <c r="I4" s="8">
        <v>3.640154406428E12</v>
      </c>
      <c r="J4" s="21" t="str">
        <f>IFERROR(__xludf.DUMMYFUNCTION("TEXT(REGEXREPLACE(I4, ""[^0-9]"", """"), ""00000-0000000-0"")"),"#VALUE!")</f>
        <v>#VALUE!</v>
      </c>
      <c r="K4" s="7">
        <v>38826.0</v>
      </c>
      <c r="L4" s="4" t="s">
        <v>31</v>
      </c>
      <c r="M4" s="4" t="s">
        <v>60</v>
      </c>
      <c r="N4" s="4" t="s">
        <v>33</v>
      </c>
      <c r="O4" s="8">
        <v>8010513.0</v>
      </c>
      <c r="P4" s="8">
        <v>108.0</v>
      </c>
      <c r="Q4" s="9">
        <v>0.94098</v>
      </c>
      <c r="R4" s="4" t="s">
        <v>59</v>
      </c>
      <c r="S4" s="4" t="s">
        <v>34</v>
      </c>
      <c r="T4" s="5" t="s">
        <v>61</v>
      </c>
      <c r="U4" s="4" t="s">
        <v>62</v>
      </c>
      <c r="V4" s="10" t="s">
        <v>63</v>
      </c>
      <c r="W4" s="10" t="s">
        <v>64</v>
      </c>
      <c r="X4" s="10" t="s">
        <v>65</v>
      </c>
      <c r="Y4" s="10" t="s">
        <v>66</v>
      </c>
      <c r="Z4" s="11" t="s">
        <v>40</v>
      </c>
      <c r="AA4" s="2"/>
      <c r="AB4" s="2"/>
      <c r="AC4" s="2"/>
      <c r="AD4" s="2"/>
      <c r="AE4" s="2"/>
      <c r="AF4" s="2"/>
    </row>
    <row r="5" ht="22.5" customHeight="1">
      <c r="A5" s="12">
        <v>46023.43930987269</v>
      </c>
      <c r="B5" s="13" t="s">
        <v>67</v>
      </c>
      <c r="C5" s="13" t="s">
        <v>67</v>
      </c>
      <c r="D5" s="14" t="s">
        <v>68</v>
      </c>
      <c r="E5" s="13" t="str">
        <f t="shared" si="1"/>
        <v>+923356353249</v>
      </c>
      <c r="F5" s="13" t="s">
        <v>69</v>
      </c>
      <c r="G5" s="13" t="s">
        <v>70</v>
      </c>
      <c r="H5" s="17">
        <v>3.330376681505E12</v>
      </c>
      <c r="I5" s="17">
        <v>3.330376681505E12</v>
      </c>
      <c r="J5" s="22" t="str">
        <f>IFERROR(__xludf.DUMMYFUNCTION("TEXT(REGEXREPLACE(I5, ""[^0-9]"", """"), ""00000-0000000-0"")"),"#VALUE!")</f>
        <v>#VALUE!</v>
      </c>
      <c r="K5" s="16">
        <v>38923.0</v>
      </c>
      <c r="L5" s="13" t="s">
        <v>46</v>
      </c>
      <c r="M5" s="13" t="s">
        <v>71</v>
      </c>
      <c r="N5" s="13" t="s">
        <v>33</v>
      </c>
      <c r="O5" s="17">
        <v>1070224.0</v>
      </c>
      <c r="P5" s="17">
        <v>109.0</v>
      </c>
      <c r="Q5" s="18">
        <v>94.09</v>
      </c>
      <c r="R5" s="13" t="s">
        <v>70</v>
      </c>
      <c r="S5" s="13" t="s">
        <v>34</v>
      </c>
      <c r="T5" s="14" t="s">
        <v>72</v>
      </c>
      <c r="U5" s="13" t="s">
        <v>73</v>
      </c>
      <c r="V5" s="19" t="s">
        <v>74</v>
      </c>
      <c r="W5" s="19" t="s">
        <v>75</v>
      </c>
      <c r="X5" s="19" t="s">
        <v>76</v>
      </c>
      <c r="Y5" s="19" t="s">
        <v>77</v>
      </c>
      <c r="Z5" s="20" t="s">
        <v>40</v>
      </c>
      <c r="AA5" s="2"/>
      <c r="AB5" s="2"/>
      <c r="AC5" s="2"/>
      <c r="AD5" s="2"/>
      <c r="AE5" s="2"/>
      <c r="AF5" s="2"/>
    </row>
    <row r="6" ht="22.5" customHeight="1">
      <c r="A6" s="3">
        <v>46023.43935901621</v>
      </c>
      <c r="B6" s="4" t="s">
        <v>78</v>
      </c>
      <c r="C6" s="4" t="s">
        <v>79</v>
      </c>
      <c r="D6" s="5" t="s">
        <v>80</v>
      </c>
      <c r="E6" s="4" t="str">
        <f t="shared" si="1"/>
        <v>+923271091363</v>
      </c>
      <c r="F6" s="4" t="s">
        <v>81</v>
      </c>
      <c r="G6" s="4" t="s">
        <v>82</v>
      </c>
      <c r="H6" s="8">
        <v>3.650150574423E12</v>
      </c>
      <c r="I6" s="8">
        <v>3.650150574423E12</v>
      </c>
      <c r="J6" s="21" t="str">
        <f>IFERROR(__xludf.DUMMYFUNCTION("TEXT(REGEXREPLACE(I6, ""[^0-9]"", """"), ""00000-0000000-0"")"),"#VALUE!")</f>
        <v>#VALUE!</v>
      </c>
      <c r="K6" s="7">
        <v>38784.0</v>
      </c>
      <c r="L6" s="4" t="s">
        <v>46</v>
      </c>
      <c r="M6" s="4" t="s">
        <v>83</v>
      </c>
      <c r="N6" s="4" t="s">
        <v>33</v>
      </c>
      <c r="O6" s="8">
        <v>8070325.0</v>
      </c>
      <c r="P6" s="8">
        <v>117.0</v>
      </c>
      <c r="Q6" s="9">
        <v>94.0636</v>
      </c>
      <c r="R6" s="4" t="s">
        <v>82</v>
      </c>
      <c r="S6" s="4" t="s">
        <v>34</v>
      </c>
      <c r="T6" s="5" t="s">
        <v>80</v>
      </c>
      <c r="U6" s="4" t="s">
        <v>78</v>
      </c>
      <c r="V6" s="10" t="s">
        <v>84</v>
      </c>
      <c r="W6" s="10" t="s">
        <v>85</v>
      </c>
      <c r="X6" s="10" t="s">
        <v>86</v>
      </c>
      <c r="Y6" s="10" t="s">
        <v>87</v>
      </c>
      <c r="Z6" s="11" t="s">
        <v>40</v>
      </c>
      <c r="AA6" s="2"/>
      <c r="AB6" s="2"/>
      <c r="AC6" s="2"/>
      <c r="AD6" s="2"/>
      <c r="AE6" s="2"/>
      <c r="AF6" s="2"/>
    </row>
    <row r="7" ht="22.5" customHeight="1">
      <c r="A7" s="12">
        <v>46023.43963171296</v>
      </c>
      <c r="B7" s="13" t="s">
        <v>88</v>
      </c>
      <c r="C7" s="13" t="s">
        <v>88</v>
      </c>
      <c r="D7" s="14" t="s">
        <v>89</v>
      </c>
      <c r="E7" s="13" t="str">
        <f t="shared" si="1"/>
        <v>+923107239938</v>
      </c>
      <c r="F7" s="13" t="s">
        <v>90</v>
      </c>
      <c r="G7" s="13" t="s">
        <v>91</v>
      </c>
      <c r="H7" s="17">
        <v>3.650242634309E12</v>
      </c>
      <c r="I7" s="17">
        <v>3.650242634309E12</v>
      </c>
      <c r="J7" s="22" t="str">
        <f>IFERROR(__xludf.DUMMYFUNCTION("TEXT(REGEXREPLACE(I7, ""[^0-9]"", """"), ""00000-0000000-0"")"),"#VALUE!")</f>
        <v>#VALUE!</v>
      </c>
      <c r="K7" s="16">
        <v>38875.0</v>
      </c>
      <c r="L7" s="13" t="s">
        <v>46</v>
      </c>
      <c r="M7" s="13" t="s">
        <v>92</v>
      </c>
      <c r="N7" s="13" t="s">
        <v>93</v>
      </c>
      <c r="O7" s="17">
        <v>8070380.0</v>
      </c>
      <c r="P7" s="17">
        <v>242.0</v>
      </c>
      <c r="Q7" s="18">
        <v>93.8576</v>
      </c>
      <c r="R7" s="13" t="s">
        <v>94</v>
      </c>
      <c r="S7" s="13" t="s">
        <v>95</v>
      </c>
      <c r="T7" s="14" t="s">
        <v>96</v>
      </c>
      <c r="U7" s="13" t="s">
        <v>97</v>
      </c>
      <c r="V7" s="19" t="s">
        <v>98</v>
      </c>
      <c r="W7" s="19" t="s">
        <v>99</v>
      </c>
      <c r="X7" s="19" t="s">
        <v>100</v>
      </c>
      <c r="Y7" s="19" t="s">
        <v>101</v>
      </c>
      <c r="Z7" s="20" t="s">
        <v>40</v>
      </c>
      <c r="AA7" s="2"/>
      <c r="AB7" s="2"/>
      <c r="AC7" s="2"/>
      <c r="AD7" s="2"/>
      <c r="AE7" s="2"/>
      <c r="AF7" s="2"/>
    </row>
    <row r="8" ht="22.5" customHeight="1">
      <c r="A8" s="3">
        <v>46023.44070115741</v>
      </c>
      <c r="B8" s="4" t="s">
        <v>102</v>
      </c>
      <c r="C8" s="4" t="s">
        <v>102</v>
      </c>
      <c r="D8" s="5" t="s">
        <v>103</v>
      </c>
      <c r="E8" s="4" t="str">
        <f t="shared" si="1"/>
        <v>+923202929069</v>
      </c>
      <c r="F8" s="4" t="s">
        <v>104</v>
      </c>
      <c r="G8" s="4" t="s">
        <v>105</v>
      </c>
      <c r="H8" s="4" t="s">
        <v>106</v>
      </c>
      <c r="I8" s="4" t="s">
        <v>106</v>
      </c>
      <c r="J8" s="6" t="str">
        <f>IFERROR(__xludf.DUMMYFUNCTION("TEXT(REGEXREPLACE(I8, ""[^0-9]"", """"), ""00000-0000000-0"")"),"33100-9704828-2")</f>
        <v>33100-9704828-2</v>
      </c>
      <c r="K8" s="7">
        <v>38912.0</v>
      </c>
      <c r="L8" s="4" t="s">
        <v>31</v>
      </c>
      <c r="M8" s="4" t="s">
        <v>107</v>
      </c>
      <c r="N8" s="4" t="s">
        <v>48</v>
      </c>
      <c r="O8" s="8">
        <v>2010487.0</v>
      </c>
      <c r="P8" s="8">
        <v>155.0</v>
      </c>
      <c r="Q8" s="9">
        <v>93.967</v>
      </c>
      <c r="R8" s="4" t="s">
        <v>105</v>
      </c>
      <c r="S8" s="4" t="s">
        <v>50</v>
      </c>
      <c r="T8" s="5" t="s">
        <v>108</v>
      </c>
      <c r="U8" s="4" t="s">
        <v>109</v>
      </c>
      <c r="V8" s="10" t="s">
        <v>110</v>
      </c>
      <c r="W8" s="10" t="s">
        <v>111</v>
      </c>
      <c r="X8" s="10" t="s">
        <v>112</v>
      </c>
      <c r="Y8" s="10" t="s">
        <v>113</v>
      </c>
      <c r="Z8" s="11" t="s">
        <v>40</v>
      </c>
      <c r="AA8" s="2"/>
      <c r="AB8" s="2"/>
      <c r="AC8" s="2"/>
      <c r="AD8" s="2"/>
      <c r="AE8" s="2"/>
      <c r="AF8" s="2"/>
    </row>
    <row r="9" ht="22.5" customHeight="1">
      <c r="A9" s="12">
        <v>46023.44081971065</v>
      </c>
      <c r="B9" s="13" t="s">
        <v>114</v>
      </c>
      <c r="C9" s="13" t="s">
        <v>114</v>
      </c>
      <c r="D9" s="14" t="s">
        <v>115</v>
      </c>
      <c r="E9" s="13" t="str">
        <f t="shared" si="1"/>
        <v>+923274979119</v>
      </c>
      <c r="F9" s="13" t="s">
        <v>116</v>
      </c>
      <c r="G9" s="13" t="s">
        <v>117</v>
      </c>
      <c r="H9" s="17">
        <v>3.540407701333E12</v>
      </c>
      <c r="I9" s="17">
        <v>3.540407701333E12</v>
      </c>
      <c r="J9" s="22" t="str">
        <f>IFERROR(__xludf.DUMMYFUNCTION("TEXT(REGEXREPLACE(I9, ""[^0-9]"", """"), ""00000-0000000-0"")"),"#VALUE!")</f>
        <v>#VALUE!</v>
      </c>
      <c r="K9" s="16">
        <v>38916.0</v>
      </c>
      <c r="L9" s="13" t="s">
        <v>46</v>
      </c>
      <c r="M9" s="13" t="s">
        <v>118</v>
      </c>
      <c r="N9" s="13" t="s">
        <v>33</v>
      </c>
      <c r="O9" s="17">
        <v>1072097.0</v>
      </c>
      <c r="P9" s="17">
        <v>167.0</v>
      </c>
      <c r="Q9" s="18">
        <v>93.95</v>
      </c>
      <c r="R9" s="13" t="s">
        <v>119</v>
      </c>
      <c r="S9" s="13" t="s">
        <v>34</v>
      </c>
      <c r="T9" s="14" t="s">
        <v>120</v>
      </c>
      <c r="U9" s="13" t="s">
        <v>121</v>
      </c>
      <c r="V9" s="19" t="s">
        <v>122</v>
      </c>
      <c r="W9" s="19" t="s">
        <v>123</v>
      </c>
      <c r="X9" s="19" t="s">
        <v>124</v>
      </c>
      <c r="Y9" s="19" t="s">
        <v>125</v>
      </c>
      <c r="Z9" s="20" t="s">
        <v>40</v>
      </c>
      <c r="AA9" s="2"/>
      <c r="AB9" s="2"/>
      <c r="AC9" s="2"/>
      <c r="AD9" s="2"/>
      <c r="AE9" s="2"/>
      <c r="AF9" s="2"/>
    </row>
    <row r="10" ht="22.5" customHeight="1">
      <c r="A10" s="3">
        <v>46023.44108704861</v>
      </c>
      <c r="B10" s="4" t="s">
        <v>126</v>
      </c>
      <c r="C10" s="4" t="s">
        <v>126</v>
      </c>
      <c r="D10" s="5" t="s">
        <v>127</v>
      </c>
      <c r="E10" s="4" t="str">
        <f t="shared" si="1"/>
        <v>+923247744379</v>
      </c>
      <c r="F10" s="4" t="s">
        <v>128</v>
      </c>
      <c r="G10" s="4" t="s">
        <v>129</v>
      </c>
      <c r="H10" s="8">
        <v>3.330126467195E12</v>
      </c>
      <c r="I10" s="8">
        <v>3.330126467195E12</v>
      </c>
      <c r="J10" s="21" t="str">
        <f>IFERROR(__xludf.DUMMYFUNCTION("TEXT(REGEXREPLACE(I10, ""[^0-9]"", """"), ""00000-0000000-0"")"),"#VALUE!")</f>
        <v>#VALUE!</v>
      </c>
      <c r="K10" s="7">
        <v>37712.0</v>
      </c>
      <c r="L10" s="4" t="s">
        <v>46</v>
      </c>
      <c r="M10" s="4" t="s">
        <v>130</v>
      </c>
      <c r="N10" s="4" t="s">
        <v>33</v>
      </c>
      <c r="O10" s="8">
        <v>2070788.0</v>
      </c>
      <c r="P10" s="8">
        <v>94.0</v>
      </c>
      <c r="Q10" s="9">
        <v>94.1273</v>
      </c>
      <c r="R10" s="4" t="s">
        <v>131</v>
      </c>
      <c r="S10" s="4" t="s">
        <v>95</v>
      </c>
      <c r="T10" s="5" t="s">
        <v>132</v>
      </c>
      <c r="U10" s="4" t="s">
        <v>133</v>
      </c>
      <c r="V10" s="10" t="s">
        <v>134</v>
      </c>
      <c r="W10" s="10" t="s">
        <v>135</v>
      </c>
      <c r="X10" s="10" t="s">
        <v>136</v>
      </c>
      <c r="Y10" s="10" t="s">
        <v>137</v>
      </c>
      <c r="Z10" s="11" t="s">
        <v>40</v>
      </c>
      <c r="AA10" s="2"/>
      <c r="AB10" s="2"/>
      <c r="AC10" s="2"/>
      <c r="AD10" s="2"/>
      <c r="AE10" s="2"/>
      <c r="AF10" s="2"/>
    </row>
    <row r="11" ht="22.5" customHeight="1">
      <c r="A11" s="12">
        <v>46023.44123001157</v>
      </c>
      <c r="B11" s="13" t="s">
        <v>138</v>
      </c>
      <c r="C11" s="13" t="s">
        <v>138</v>
      </c>
      <c r="D11" s="14" t="s">
        <v>139</v>
      </c>
      <c r="E11" s="13" t="str">
        <f t="shared" si="1"/>
        <v>+923213545326</v>
      </c>
      <c r="F11" s="13" t="s">
        <v>140</v>
      </c>
      <c r="G11" s="13" t="s">
        <v>141</v>
      </c>
      <c r="H11" s="17">
        <v>3.620312820985E12</v>
      </c>
      <c r="I11" s="17">
        <v>3.620312820985E12</v>
      </c>
      <c r="J11" s="22" t="str">
        <f>IFERROR(__xludf.DUMMYFUNCTION("TEXT(REGEXREPLACE(I11, ""[^0-9]"", """"), ""00000-0000000-0"")"),"#VALUE!")</f>
        <v>#VALUE!</v>
      </c>
      <c r="K11" s="16">
        <v>39295.0</v>
      </c>
      <c r="L11" s="13" t="s">
        <v>46</v>
      </c>
      <c r="M11" s="13" t="s">
        <v>142</v>
      </c>
      <c r="N11" s="13" t="s">
        <v>33</v>
      </c>
      <c r="O11" s="17">
        <v>1161178.0</v>
      </c>
      <c r="P11" s="17">
        <v>184.0</v>
      </c>
      <c r="Q11" s="18">
        <v>93.9202</v>
      </c>
      <c r="R11" s="13" t="s">
        <v>143</v>
      </c>
      <c r="S11" s="13" t="s">
        <v>50</v>
      </c>
      <c r="T11" s="14" t="s">
        <v>144</v>
      </c>
      <c r="U11" s="13" t="s">
        <v>145</v>
      </c>
      <c r="V11" s="19" t="s">
        <v>146</v>
      </c>
      <c r="W11" s="19" t="s">
        <v>147</v>
      </c>
      <c r="X11" s="23"/>
      <c r="Y11" s="23"/>
      <c r="Z11" s="20" t="s">
        <v>40</v>
      </c>
      <c r="AA11" s="2"/>
      <c r="AB11" s="2"/>
      <c r="AC11" s="2"/>
      <c r="AD11" s="2"/>
      <c r="AE11" s="2"/>
      <c r="AF11" s="2"/>
    </row>
    <row r="12" ht="22.5" customHeight="1">
      <c r="A12" s="3">
        <v>46023.44137688658</v>
      </c>
      <c r="B12" s="4" t="s">
        <v>148</v>
      </c>
      <c r="C12" s="4" t="s">
        <v>148</v>
      </c>
      <c r="D12" s="5" t="s">
        <v>149</v>
      </c>
      <c r="E12" s="4" t="str">
        <f t="shared" si="1"/>
        <v>+923071440267</v>
      </c>
      <c r="F12" s="4" t="s">
        <v>150</v>
      </c>
      <c r="G12" s="4" t="s">
        <v>151</v>
      </c>
      <c r="H12" s="8">
        <v>9.040302536539E12</v>
      </c>
      <c r="I12" s="8">
        <v>9.040302536539E12</v>
      </c>
      <c r="J12" s="21" t="str">
        <f>IFERROR(__xludf.DUMMYFUNCTION("TEXT(REGEXREPLACE(I12, ""[^0-9]"", """"), ""00000-0000000-0"")"),"#VALUE!")</f>
        <v>#VALUE!</v>
      </c>
      <c r="K12" s="7">
        <v>38749.0</v>
      </c>
      <c r="L12" s="4" t="s">
        <v>46</v>
      </c>
      <c r="M12" s="4" t="s">
        <v>152</v>
      </c>
      <c r="N12" s="4" t="s">
        <v>33</v>
      </c>
      <c r="O12" s="8">
        <v>2070923.0</v>
      </c>
      <c r="P12" s="8">
        <v>125.0</v>
      </c>
      <c r="Q12" s="9">
        <v>94.0318</v>
      </c>
      <c r="R12" s="4" t="s">
        <v>151</v>
      </c>
      <c r="S12" s="4" t="s">
        <v>34</v>
      </c>
      <c r="T12" s="5" t="s">
        <v>149</v>
      </c>
      <c r="U12" s="4" t="s">
        <v>148</v>
      </c>
      <c r="V12" s="10" t="s">
        <v>153</v>
      </c>
      <c r="W12" s="10" t="s">
        <v>154</v>
      </c>
      <c r="X12" s="10" t="s">
        <v>155</v>
      </c>
      <c r="Y12" s="10" t="s">
        <v>156</v>
      </c>
      <c r="Z12" s="11" t="s">
        <v>40</v>
      </c>
      <c r="AA12" s="2"/>
      <c r="AB12" s="2"/>
      <c r="AC12" s="2"/>
      <c r="AD12" s="2"/>
      <c r="AE12" s="2"/>
      <c r="AF12" s="2"/>
    </row>
    <row r="13" ht="22.5" customHeight="1">
      <c r="A13" s="12">
        <v>46023.441559756946</v>
      </c>
      <c r="B13" s="13" t="s">
        <v>157</v>
      </c>
      <c r="C13" s="13" t="s">
        <v>157</v>
      </c>
      <c r="D13" s="13" t="s">
        <v>158</v>
      </c>
      <c r="E13" s="13" t="str">
        <f t="shared" si="1"/>
        <v>+923284075392</v>
      </c>
      <c r="F13" s="13" t="s">
        <v>159</v>
      </c>
      <c r="G13" s="13" t="s">
        <v>160</v>
      </c>
      <c r="H13" s="13" t="s">
        <v>161</v>
      </c>
      <c r="I13" s="13" t="s">
        <v>161</v>
      </c>
      <c r="J13" s="15" t="str">
        <f>IFERROR(__xludf.DUMMYFUNCTION("TEXT(REGEXREPLACE(I13, ""[^0-9]"", """"), ""00000-0000000-0"")"),"35202-7765580-5")</f>
        <v>35202-7765580-5</v>
      </c>
      <c r="K13" s="16">
        <v>39082.0</v>
      </c>
      <c r="L13" s="13" t="s">
        <v>46</v>
      </c>
      <c r="M13" s="13" t="s">
        <v>162</v>
      </c>
      <c r="N13" s="13" t="s">
        <v>93</v>
      </c>
      <c r="O13" s="17">
        <v>1071457.0</v>
      </c>
      <c r="P13" s="17">
        <v>127.0</v>
      </c>
      <c r="Q13" s="18">
        <v>94.4444</v>
      </c>
      <c r="R13" s="13" t="s">
        <v>163</v>
      </c>
      <c r="S13" s="13" t="s">
        <v>95</v>
      </c>
      <c r="T13" s="14" t="s">
        <v>164</v>
      </c>
      <c r="U13" s="13" t="s">
        <v>165</v>
      </c>
      <c r="V13" s="19" t="s">
        <v>166</v>
      </c>
      <c r="W13" s="19" t="s">
        <v>167</v>
      </c>
      <c r="X13" s="19" t="s">
        <v>168</v>
      </c>
      <c r="Y13" s="19" t="s">
        <v>169</v>
      </c>
      <c r="Z13" s="20" t="s">
        <v>40</v>
      </c>
      <c r="AA13" s="2"/>
      <c r="AB13" s="2"/>
      <c r="AC13" s="2"/>
      <c r="AD13" s="2"/>
      <c r="AE13" s="2"/>
      <c r="AF13" s="2"/>
    </row>
    <row r="14" ht="22.5" customHeight="1">
      <c r="A14" s="3">
        <v>46023.44161497685</v>
      </c>
      <c r="B14" s="4" t="s">
        <v>170</v>
      </c>
      <c r="C14" s="4" t="s">
        <v>171</v>
      </c>
      <c r="D14" s="5" t="s">
        <v>172</v>
      </c>
      <c r="E14" s="4" t="str">
        <f t="shared" si="1"/>
        <v>+923306228861</v>
      </c>
      <c r="F14" s="4" t="s">
        <v>173</v>
      </c>
      <c r="G14" s="4" t="s">
        <v>174</v>
      </c>
      <c r="H14" s="4" t="s">
        <v>175</v>
      </c>
      <c r="I14" s="4" t="s">
        <v>175</v>
      </c>
      <c r="J14" s="6" t="str">
        <f>IFERROR(__xludf.DUMMYFUNCTION("TEXT(REGEXREPLACE(I14, ""[^0-9]"", """"), ""00000-0000000-0"")"),"32104-0519558-3")</f>
        <v>32104-0519558-3</v>
      </c>
      <c r="K14" s="7">
        <v>39036.0</v>
      </c>
      <c r="L14" s="4" t="s">
        <v>46</v>
      </c>
      <c r="M14" s="4" t="s">
        <v>176</v>
      </c>
      <c r="N14" s="4" t="s">
        <v>93</v>
      </c>
      <c r="O14" s="8">
        <v>1299153.0</v>
      </c>
      <c r="P14" s="8">
        <v>129.0</v>
      </c>
      <c r="Q14" s="9">
        <v>94.0212</v>
      </c>
      <c r="R14" s="4" t="s">
        <v>174</v>
      </c>
      <c r="S14" s="4" t="s">
        <v>34</v>
      </c>
      <c r="T14" s="5" t="s">
        <v>177</v>
      </c>
      <c r="U14" s="4" t="s">
        <v>170</v>
      </c>
      <c r="V14" s="10" t="s">
        <v>178</v>
      </c>
      <c r="W14" s="10" t="s">
        <v>179</v>
      </c>
      <c r="X14" s="10" t="s">
        <v>180</v>
      </c>
      <c r="Y14" s="10" t="s">
        <v>181</v>
      </c>
      <c r="Z14" s="11" t="s">
        <v>40</v>
      </c>
      <c r="AA14" s="2"/>
      <c r="AB14" s="2"/>
      <c r="AC14" s="2"/>
      <c r="AD14" s="2"/>
      <c r="AE14" s="2"/>
      <c r="AF14" s="2"/>
    </row>
    <row r="15" ht="22.5" customHeight="1">
      <c r="A15" s="12">
        <v>46023.441631759255</v>
      </c>
      <c r="B15" s="13" t="s">
        <v>182</v>
      </c>
      <c r="C15" s="13" t="s">
        <v>182</v>
      </c>
      <c r="D15" s="14" t="s">
        <v>183</v>
      </c>
      <c r="E15" s="13" t="str">
        <f t="shared" si="1"/>
        <v>+923274977537</v>
      </c>
      <c r="F15" s="13" t="s">
        <v>184</v>
      </c>
      <c r="G15" s="13" t="s">
        <v>185</v>
      </c>
      <c r="H15" s="17">
        <v>3.540436467733E12</v>
      </c>
      <c r="I15" s="17">
        <v>3.540436467733E12</v>
      </c>
      <c r="J15" s="22" t="str">
        <f>IFERROR(__xludf.DUMMYFUNCTION("TEXT(REGEXREPLACE(I15, ""[^0-9]"", """"), ""00000-0000000-0"")"),"#VALUE!")</f>
        <v>#VALUE!</v>
      </c>
      <c r="K15" s="16">
        <v>39302.0</v>
      </c>
      <c r="L15" s="13" t="s">
        <v>46</v>
      </c>
      <c r="M15" s="13" t="s">
        <v>186</v>
      </c>
      <c r="N15" s="13" t="s">
        <v>33</v>
      </c>
      <c r="O15" s="17">
        <v>1071121.0</v>
      </c>
      <c r="P15" s="17">
        <v>219.0</v>
      </c>
      <c r="Q15" s="18">
        <v>93.87</v>
      </c>
      <c r="R15" s="13" t="s">
        <v>185</v>
      </c>
      <c r="S15" s="13" t="s">
        <v>34</v>
      </c>
      <c r="T15" s="14" t="s">
        <v>187</v>
      </c>
      <c r="U15" s="13" t="s">
        <v>188</v>
      </c>
      <c r="V15" s="19" t="s">
        <v>189</v>
      </c>
      <c r="W15" s="19" t="s">
        <v>190</v>
      </c>
      <c r="X15" s="19" t="s">
        <v>191</v>
      </c>
      <c r="Y15" s="19" t="s">
        <v>192</v>
      </c>
      <c r="Z15" s="20" t="s">
        <v>40</v>
      </c>
      <c r="AA15" s="2"/>
      <c r="AB15" s="2"/>
      <c r="AC15" s="2"/>
      <c r="AD15" s="2"/>
      <c r="AE15" s="2"/>
      <c r="AF15" s="2"/>
    </row>
    <row r="16" ht="22.5" customHeight="1">
      <c r="A16" s="3">
        <v>46023.44197907408</v>
      </c>
      <c r="B16" s="4" t="s">
        <v>193</v>
      </c>
      <c r="C16" s="4" t="s">
        <v>193</v>
      </c>
      <c r="D16" s="5" t="s">
        <v>194</v>
      </c>
      <c r="E16" s="4" t="str">
        <f t="shared" si="1"/>
        <v>+923198420759</v>
      </c>
      <c r="F16" s="4" t="s">
        <v>195</v>
      </c>
      <c r="G16" s="4" t="s">
        <v>196</v>
      </c>
      <c r="H16" s="8">
        <v>3.330403819201E12</v>
      </c>
      <c r="I16" s="8">
        <v>3.330403819201E12</v>
      </c>
      <c r="J16" s="21" t="str">
        <f>IFERROR(__xludf.DUMMYFUNCTION("TEXT(REGEXREPLACE(I16, ""[^0-9]"", """"), ""00000-0000000-0"")"),"#VALUE!")</f>
        <v>#VALUE!</v>
      </c>
      <c r="K16" s="7">
        <v>39183.0</v>
      </c>
      <c r="L16" s="4" t="s">
        <v>46</v>
      </c>
      <c r="M16" s="4" t="s">
        <v>197</v>
      </c>
      <c r="N16" s="4" t="s">
        <v>48</v>
      </c>
      <c r="O16" s="8">
        <v>9070158.0</v>
      </c>
      <c r="P16" s="8">
        <v>203.0</v>
      </c>
      <c r="Q16" s="9">
        <v>93.8985</v>
      </c>
      <c r="R16" s="4" t="s">
        <v>196</v>
      </c>
      <c r="S16" s="4" t="s">
        <v>50</v>
      </c>
      <c r="T16" s="5" t="s">
        <v>198</v>
      </c>
      <c r="U16" s="4" t="s">
        <v>199</v>
      </c>
      <c r="V16" s="10" t="s">
        <v>200</v>
      </c>
      <c r="W16" s="10" t="s">
        <v>201</v>
      </c>
      <c r="X16" s="10" t="s">
        <v>202</v>
      </c>
      <c r="Y16" s="10" t="s">
        <v>203</v>
      </c>
      <c r="Z16" s="11" t="s">
        <v>40</v>
      </c>
      <c r="AA16" s="2"/>
      <c r="AB16" s="2"/>
      <c r="AC16" s="2"/>
      <c r="AD16" s="2"/>
      <c r="AE16" s="2"/>
      <c r="AF16" s="2"/>
    </row>
    <row r="17" ht="22.5" customHeight="1">
      <c r="A17" s="12">
        <v>46023.44213303241</v>
      </c>
      <c r="B17" s="13" t="s">
        <v>204</v>
      </c>
      <c r="C17" s="13" t="s">
        <v>204</v>
      </c>
      <c r="D17" s="13" t="s">
        <v>205</v>
      </c>
      <c r="E17" s="13" t="str">
        <f t="shared" si="1"/>
        <v>+923237851866</v>
      </c>
      <c r="F17" s="13" t="s">
        <v>206</v>
      </c>
      <c r="G17" s="13" t="s">
        <v>207</v>
      </c>
      <c r="H17" s="13" t="s">
        <v>208</v>
      </c>
      <c r="I17" s="13" t="s">
        <v>208</v>
      </c>
      <c r="J17" s="15" t="str">
        <f>IFERROR(__xludf.DUMMYFUNCTION("TEXT(REGEXREPLACE(I17, ""[^0-9]"", """"), ""00000-0000000-0"")"),"32304-4479082-0")</f>
        <v>32304-4479082-0</v>
      </c>
      <c r="K17" s="16">
        <v>39573.0</v>
      </c>
      <c r="L17" s="13" t="s">
        <v>31</v>
      </c>
      <c r="M17" s="13" t="s">
        <v>209</v>
      </c>
      <c r="N17" s="13" t="s">
        <v>33</v>
      </c>
      <c r="O17" s="17">
        <v>9015006.0</v>
      </c>
      <c r="P17" s="17">
        <v>81.0</v>
      </c>
      <c r="Q17" s="18">
        <v>94.1848</v>
      </c>
      <c r="R17" s="13" t="s">
        <v>207</v>
      </c>
      <c r="S17" s="13" t="s">
        <v>210</v>
      </c>
      <c r="T17" s="13" t="s">
        <v>211</v>
      </c>
      <c r="U17" s="13" t="s">
        <v>212</v>
      </c>
      <c r="V17" s="19" t="s">
        <v>213</v>
      </c>
      <c r="W17" s="19" t="s">
        <v>214</v>
      </c>
      <c r="X17" s="19" t="s">
        <v>215</v>
      </c>
      <c r="Y17" s="19" t="s">
        <v>216</v>
      </c>
      <c r="Z17" s="20" t="s">
        <v>40</v>
      </c>
      <c r="AA17" s="2"/>
      <c r="AB17" s="2"/>
      <c r="AC17" s="2"/>
      <c r="AD17" s="2"/>
      <c r="AE17" s="2"/>
      <c r="AF17" s="2"/>
    </row>
    <row r="18" ht="22.5" customHeight="1">
      <c r="A18" s="3">
        <v>46023.442434780096</v>
      </c>
      <c r="B18" s="4" t="s">
        <v>217</v>
      </c>
      <c r="C18" s="4" t="s">
        <v>217</v>
      </c>
      <c r="D18" s="5" t="s">
        <v>218</v>
      </c>
      <c r="E18" s="4" t="str">
        <f t="shared" si="1"/>
        <v>+923339633411</v>
      </c>
      <c r="F18" s="4" t="s">
        <v>219</v>
      </c>
      <c r="G18" s="4" t="s">
        <v>220</v>
      </c>
      <c r="H18" s="4" t="s">
        <v>221</v>
      </c>
      <c r="I18" s="4" t="s">
        <v>221</v>
      </c>
      <c r="J18" s="6" t="str">
        <f>IFERROR(__xludf.DUMMYFUNCTION("TEXT(REGEXREPLACE(I18, ""[^0-9]"", """"), ""00000-0000000-0"")"),"38102-1678465-1")</f>
        <v>38102-1678465-1</v>
      </c>
      <c r="K18" s="7">
        <v>38826.0</v>
      </c>
      <c r="L18" s="4" t="s">
        <v>46</v>
      </c>
      <c r="M18" s="4" t="s">
        <v>222</v>
      </c>
      <c r="N18" s="4" t="s">
        <v>33</v>
      </c>
      <c r="O18" s="8">
        <v>7070007.0</v>
      </c>
      <c r="P18" s="8">
        <v>210.0</v>
      </c>
      <c r="Q18" s="9">
        <v>94.0</v>
      </c>
      <c r="R18" s="4" t="s">
        <v>223</v>
      </c>
      <c r="S18" s="4" t="s">
        <v>224</v>
      </c>
      <c r="T18" s="5" t="s">
        <v>225</v>
      </c>
      <c r="U18" s="4" t="s">
        <v>226</v>
      </c>
      <c r="V18" s="10" t="s">
        <v>227</v>
      </c>
      <c r="W18" s="10" t="s">
        <v>228</v>
      </c>
      <c r="X18" s="10" t="s">
        <v>229</v>
      </c>
      <c r="Y18" s="10" t="s">
        <v>230</v>
      </c>
      <c r="Z18" s="11" t="s">
        <v>40</v>
      </c>
      <c r="AA18" s="2"/>
      <c r="AB18" s="2"/>
      <c r="AC18" s="2"/>
      <c r="AD18" s="2"/>
      <c r="AE18" s="2"/>
      <c r="AF18" s="2"/>
    </row>
    <row r="19" ht="22.5" customHeight="1">
      <c r="A19" s="12">
        <v>46023.44250200232</v>
      </c>
      <c r="B19" s="13" t="s">
        <v>231</v>
      </c>
      <c r="C19" s="13" t="s">
        <v>231</v>
      </c>
      <c r="D19" s="14" t="s">
        <v>232</v>
      </c>
      <c r="E19" s="13" t="str">
        <f t="shared" si="1"/>
        <v>+923080633626</v>
      </c>
      <c r="F19" s="13" t="s">
        <v>233</v>
      </c>
      <c r="G19" s="13" t="s">
        <v>234</v>
      </c>
      <c r="H19" s="17">
        <v>3.530213896187E12</v>
      </c>
      <c r="I19" s="17">
        <v>3.530213896187E12</v>
      </c>
      <c r="J19" s="22" t="str">
        <f>IFERROR(__xludf.DUMMYFUNCTION("TEXT(REGEXREPLACE(I19, ""[^0-9]"", """"), ""00000-0000000-0"")"),"#VALUE!")</f>
        <v>#VALUE!</v>
      </c>
      <c r="K19" s="16">
        <v>38392.0</v>
      </c>
      <c r="L19" s="13" t="s">
        <v>46</v>
      </c>
      <c r="M19" s="13" t="s">
        <v>235</v>
      </c>
      <c r="N19" s="13" t="s">
        <v>48</v>
      </c>
      <c r="O19" s="17">
        <v>8070535.0</v>
      </c>
      <c r="P19" s="17">
        <v>206.0</v>
      </c>
      <c r="Q19" s="18">
        <v>93.8955</v>
      </c>
      <c r="R19" s="13" t="s">
        <v>234</v>
      </c>
      <c r="S19" s="13" t="s">
        <v>50</v>
      </c>
      <c r="T19" s="14" t="s">
        <v>236</v>
      </c>
      <c r="U19" s="13" t="s">
        <v>237</v>
      </c>
      <c r="V19" s="19" t="s">
        <v>238</v>
      </c>
      <c r="W19" s="19" t="s">
        <v>239</v>
      </c>
      <c r="X19" s="19" t="s">
        <v>240</v>
      </c>
      <c r="Y19" s="19" t="s">
        <v>241</v>
      </c>
      <c r="Z19" s="20" t="s">
        <v>40</v>
      </c>
      <c r="AA19" s="2"/>
      <c r="AB19" s="2"/>
      <c r="AC19" s="2"/>
      <c r="AD19" s="2"/>
      <c r="AE19" s="2"/>
      <c r="AF19" s="2"/>
    </row>
    <row r="20" ht="22.5" customHeight="1">
      <c r="A20" s="3">
        <v>46023.44261982639</v>
      </c>
      <c r="B20" s="4" t="s">
        <v>242</v>
      </c>
      <c r="C20" s="4" t="s">
        <v>242</v>
      </c>
      <c r="D20" s="5" t="s">
        <v>243</v>
      </c>
      <c r="E20" s="4" t="str">
        <f t="shared" si="1"/>
        <v>+923115780908</v>
      </c>
      <c r="F20" s="4" t="s">
        <v>244</v>
      </c>
      <c r="G20" s="4" t="s">
        <v>245</v>
      </c>
      <c r="H20" s="8">
        <v>6.11010774351E12</v>
      </c>
      <c r="I20" s="8">
        <v>6.11010774351E12</v>
      </c>
      <c r="J20" s="21" t="str">
        <f>IFERROR(__xludf.DUMMYFUNCTION("TEXT(REGEXREPLACE(I20, ""[^0-9]"", """"), ""00000-0000000-0"")"),"#VALUE!")</f>
        <v>#VALUE!</v>
      </c>
      <c r="K20" s="7">
        <v>38416.0</v>
      </c>
      <c r="L20" s="4" t="s">
        <v>31</v>
      </c>
      <c r="M20" s="4" t="s">
        <v>246</v>
      </c>
      <c r="N20" s="4" t="s">
        <v>33</v>
      </c>
      <c r="O20" s="8">
        <v>3008488.0</v>
      </c>
      <c r="P20" s="8">
        <v>261.0</v>
      </c>
      <c r="Q20" s="9">
        <v>93.8318</v>
      </c>
      <c r="R20" s="4" t="s">
        <v>245</v>
      </c>
      <c r="S20" s="4" t="s">
        <v>50</v>
      </c>
      <c r="T20" s="5" t="s">
        <v>247</v>
      </c>
      <c r="U20" s="4" t="s">
        <v>248</v>
      </c>
      <c r="V20" s="10" t="s">
        <v>249</v>
      </c>
      <c r="W20" s="10" t="s">
        <v>250</v>
      </c>
      <c r="X20" s="10" t="s">
        <v>251</v>
      </c>
      <c r="Y20" s="10" t="s">
        <v>252</v>
      </c>
      <c r="Z20" s="11" t="s">
        <v>40</v>
      </c>
      <c r="AA20" s="2"/>
      <c r="AB20" s="2"/>
      <c r="AC20" s="2"/>
      <c r="AD20" s="2"/>
      <c r="AE20" s="2"/>
      <c r="AF20" s="2"/>
    </row>
    <row r="21" ht="22.5" customHeight="1">
      <c r="A21" s="12">
        <v>46023.442650150464</v>
      </c>
      <c r="B21" s="13" t="s">
        <v>253</v>
      </c>
      <c r="C21" s="13" t="s">
        <v>253</v>
      </c>
      <c r="D21" s="14" t="s">
        <v>254</v>
      </c>
      <c r="E21" s="13" t="str">
        <f t="shared" si="1"/>
        <v>+923091414283</v>
      </c>
      <c r="F21" s="13" t="s">
        <v>255</v>
      </c>
      <c r="G21" s="13" t="s">
        <v>256</v>
      </c>
      <c r="H21" s="17">
        <v>3.540374477404E12</v>
      </c>
      <c r="I21" s="17">
        <v>3.540374477404E12</v>
      </c>
      <c r="J21" s="22" t="str">
        <f>IFERROR(__xludf.DUMMYFUNCTION("TEXT(REGEXREPLACE(I21, ""[^0-9]"", """"), ""00000-0000000-0"")"),"#VALUE!")</f>
        <v>#VALUE!</v>
      </c>
      <c r="K21" s="16">
        <v>38446.0</v>
      </c>
      <c r="L21" s="13" t="s">
        <v>31</v>
      </c>
      <c r="M21" s="13" t="s">
        <v>257</v>
      </c>
      <c r="N21" s="13" t="s">
        <v>33</v>
      </c>
      <c r="O21" s="17">
        <v>2010289.0</v>
      </c>
      <c r="P21" s="17">
        <v>33.0</v>
      </c>
      <c r="Q21" s="18">
        <v>94.4864</v>
      </c>
      <c r="R21" s="13" t="s">
        <v>258</v>
      </c>
      <c r="S21" s="13" t="s">
        <v>259</v>
      </c>
      <c r="T21" s="14" t="s">
        <v>260</v>
      </c>
      <c r="U21" s="13" t="s">
        <v>261</v>
      </c>
      <c r="V21" s="23"/>
      <c r="W21" s="23"/>
      <c r="X21" s="23"/>
      <c r="Y21" s="23"/>
      <c r="Z21" s="20" t="s">
        <v>40</v>
      </c>
      <c r="AA21" s="2"/>
      <c r="AB21" s="2"/>
      <c r="AC21" s="2"/>
      <c r="AD21" s="2"/>
      <c r="AE21" s="2"/>
      <c r="AF21" s="2"/>
    </row>
    <row r="22" ht="22.5" customHeight="1">
      <c r="A22" s="3">
        <v>46023.442785810184</v>
      </c>
      <c r="B22" s="4" t="s">
        <v>262</v>
      </c>
      <c r="C22" s="4" t="s">
        <v>262</v>
      </c>
      <c r="D22" s="5" t="s">
        <v>263</v>
      </c>
      <c r="E22" s="4" t="str">
        <f t="shared" si="1"/>
        <v>+923011933331</v>
      </c>
      <c r="F22" s="4" t="s">
        <v>264</v>
      </c>
      <c r="G22" s="4" t="s">
        <v>265</v>
      </c>
      <c r="H22" s="4" t="s">
        <v>266</v>
      </c>
      <c r="I22" s="4" t="s">
        <v>266</v>
      </c>
      <c r="J22" s="6" t="str">
        <f>IFERROR(__xludf.DUMMYFUNCTION("TEXT(REGEXREPLACE(I22, ""[^0-9]"", """"), ""00000-0000000-0"")"),"36501-6346665-1")</f>
        <v>36501-6346665-1</v>
      </c>
      <c r="K22" s="7">
        <v>38267.0</v>
      </c>
      <c r="L22" s="4" t="s">
        <v>46</v>
      </c>
      <c r="M22" s="4" t="s">
        <v>267</v>
      </c>
      <c r="N22" s="4" t="s">
        <v>33</v>
      </c>
      <c r="O22" s="8">
        <v>8070007.0</v>
      </c>
      <c r="P22" s="8">
        <v>170.0</v>
      </c>
      <c r="Q22" s="9">
        <v>93.9455</v>
      </c>
      <c r="R22" s="4" t="s">
        <v>265</v>
      </c>
      <c r="S22" s="4" t="s">
        <v>34</v>
      </c>
      <c r="T22" s="5" t="s">
        <v>268</v>
      </c>
      <c r="U22" s="4" t="s">
        <v>269</v>
      </c>
      <c r="V22" s="10" t="s">
        <v>270</v>
      </c>
      <c r="W22" s="10" t="s">
        <v>271</v>
      </c>
      <c r="X22" s="10" t="s">
        <v>272</v>
      </c>
      <c r="Y22" s="10" t="s">
        <v>273</v>
      </c>
      <c r="Z22" s="11" t="s">
        <v>40</v>
      </c>
      <c r="AA22" s="2"/>
      <c r="AB22" s="2"/>
      <c r="AC22" s="2"/>
      <c r="AD22" s="2"/>
      <c r="AE22" s="2"/>
      <c r="AF22" s="2"/>
    </row>
    <row r="23" ht="22.5" customHeight="1">
      <c r="A23" s="12">
        <v>46023.44286648148</v>
      </c>
      <c r="B23" s="13" t="s">
        <v>274</v>
      </c>
      <c r="C23" s="13" t="s">
        <v>275</v>
      </c>
      <c r="D23" s="17">
        <v>3.122205254E9</v>
      </c>
      <c r="E23" s="24" t="str">
        <f t="shared" si="1"/>
        <v>+3122205254</v>
      </c>
      <c r="F23" s="13" t="s">
        <v>276</v>
      </c>
      <c r="G23" s="13" t="s">
        <v>277</v>
      </c>
      <c r="H23" s="17">
        <v>3.310098122346E12</v>
      </c>
      <c r="I23" s="17">
        <v>3.310098122346E12</v>
      </c>
      <c r="J23" s="22" t="str">
        <f>IFERROR(__xludf.DUMMYFUNCTION("TEXT(REGEXREPLACE(I23, ""[^0-9]"", """"), ""00000-0000000-0"")"),"#VALUE!")</f>
        <v>#VALUE!</v>
      </c>
      <c r="K23" s="16">
        <v>38999.0</v>
      </c>
      <c r="L23" s="13" t="s">
        <v>31</v>
      </c>
      <c r="M23" s="13" t="s">
        <v>278</v>
      </c>
      <c r="N23" s="13" t="s">
        <v>93</v>
      </c>
      <c r="O23" s="17">
        <v>2010809.0</v>
      </c>
      <c r="P23" s="17">
        <v>179.0</v>
      </c>
      <c r="Q23" s="18">
        <v>93.92</v>
      </c>
      <c r="R23" s="13" t="s">
        <v>277</v>
      </c>
      <c r="S23" s="13" t="s">
        <v>34</v>
      </c>
      <c r="T23" s="14" t="s">
        <v>279</v>
      </c>
      <c r="U23" s="13" t="s">
        <v>280</v>
      </c>
      <c r="V23" s="19" t="s">
        <v>281</v>
      </c>
      <c r="W23" s="19" t="s">
        <v>282</v>
      </c>
      <c r="X23" s="19" t="s">
        <v>283</v>
      </c>
      <c r="Y23" s="19" t="s">
        <v>284</v>
      </c>
      <c r="Z23" s="20" t="s">
        <v>40</v>
      </c>
      <c r="AA23" s="2"/>
      <c r="AB23" s="2"/>
      <c r="AC23" s="2"/>
      <c r="AD23" s="2"/>
      <c r="AE23" s="2"/>
      <c r="AF23" s="2"/>
    </row>
    <row r="24" ht="22.5" customHeight="1">
      <c r="A24" s="3">
        <v>46023.44331083333</v>
      </c>
      <c r="B24" s="4" t="s">
        <v>285</v>
      </c>
      <c r="C24" s="4" t="s">
        <v>285</v>
      </c>
      <c r="D24" s="5" t="s">
        <v>286</v>
      </c>
      <c r="E24" s="4" t="str">
        <f t="shared" si="1"/>
        <v>+923290949866</v>
      </c>
      <c r="F24" s="4" t="s">
        <v>287</v>
      </c>
      <c r="G24" s="4" t="s">
        <v>288</v>
      </c>
      <c r="H24" s="4" t="s">
        <v>289</v>
      </c>
      <c r="I24" s="4" t="s">
        <v>289</v>
      </c>
      <c r="J24" s="6" t="str">
        <f>IFERROR(__xludf.DUMMYFUNCTION("TEXT(REGEXREPLACE(I24, ""[^0-9]"", """"), ""00000-0000000-0"")"),"33105-0228881-3")</f>
        <v>33105-0228881-3</v>
      </c>
      <c r="K24" s="7">
        <v>38887.0</v>
      </c>
      <c r="L24" s="4" t="s">
        <v>46</v>
      </c>
      <c r="M24" s="4" t="s">
        <v>290</v>
      </c>
      <c r="N24" s="4" t="s">
        <v>48</v>
      </c>
      <c r="O24" s="8">
        <v>2090465.0</v>
      </c>
      <c r="P24" s="8">
        <v>157.0</v>
      </c>
      <c r="Q24" s="9">
        <v>93.97</v>
      </c>
      <c r="R24" s="4" t="s">
        <v>288</v>
      </c>
      <c r="S24" s="4" t="s">
        <v>50</v>
      </c>
      <c r="T24" s="5" t="s">
        <v>291</v>
      </c>
      <c r="U24" s="4" t="s">
        <v>292</v>
      </c>
      <c r="V24" s="10" t="s">
        <v>293</v>
      </c>
      <c r="W24" s="10" t="s">
        <v>294</v>
      </c>
      <c r="X24" s="10" t="s">
        <v>295</v>
      </c>
      <c r="Y24" s="10" t="s">
        <v>296</v>
      </c>
      <c r="Z24" s="11" t="s">
        <v>40</v>
      </c>
      <c r="AA24" s="2"/>
      <c r="AB24" s="2"/>
      <c r="AC24" s="2"/>
      <c r="AD24" s="2"/>
      <c r="AE24" s="2"/>
      <c r="AF24" s="2"/>
    </row>
    <row r="25" ht="22.5" customHeight="1">
      <c r="A25" s="12">
        <v>46023.44344383102</v>
      </c>
      <c r="B25" s="13" t="s">
        <v>297</v>
      </c>
      <c r="C25" s="13" t="s">
        <v>297</v>
      </c>
      <c r="D25" s="14" t="s">
        <v>298</v>
      </c>
      <c r="E25" s="13" t="str">
        <f t="shared" si="1"/>
        <v>+923128650575</v>
      </c>
      <c r="F25" s="13" t="s">
        <v>299</v>
      </c>
      <c r="G25" s="13" t="s">
        <v>300</v>
      </c>
      <c r="H25" s="13" t="s">
        <v>301</v>
      </c>
      <c r="I25" s="13" t="s">
        <v>301</v>
      </c>
      <c r="J25" s="15" t="str">
        <f>IFERROR(__xludf.DUMMYFUNCTION("TEXT(REGEXREPLACE(I25, ""[^0-9]"", """"), ""00000-0000000-0"")"),"33102-7924791-9")</f>
        <v>33102-7924791-9</v>
      </c>
      <c r="K25" s="16">
        <v>38213.0</v>
      </c>
      <c r="L25" s="13" t="s">
        <v>46</v>
      </c>
      <c r="M25" s="13" t="s">
        <v>302</v>
      </c>
      <c r="N25" s="13" t="s">
        <v>33</v>
      </c>
      <c r="O25" s="17">
        <v>2071215.0</v>
      </c>
      <c r="P25" s="17">
        <v>169.0</v>
      </c>
      <c r="Q25" s="18">
        <v>93.9455</v>
      </c>
      <c r="R25" s="13" t="s">
        <v>300</v>
      </c>
      <c r="S25" s="13" t="s">
        <v>34</v>
      </c>
      <c r="T25" s="14" t="s">
        <v>303</v>
      </c>
      <c r="U25" s="13" t="s">
        <v>304</v>
      </c>
      <c r="V25" s="19" t="s">
        <v>305</v>
      </c>
      <c r="W25" s="19" t="s">
        <v>306</v>
      </c>
      <c r="X25" s="19" t="s">
        <v>307</v>
      </c>
      <c r="Y25" s="19" t="s">
        <v>308</v>
      </c>
      <c r="Z25" s="20" t="s">
        <v>40</v>
      </c>
      <c r="AA25" s="2"/>
      <c r="AB25" s="2"/>
      <c r="AC25" s="2"/>
      <c r="AD25" s="2"/>
      <c r="AE25" s="2"/>
      <c r="AF25" s="2"/>
    </row>
    <row r="26" ht="22.5" customHeight="1">
      <c r="A26" s="3">
        <v>46023.443490185186</v>
      </c>
      <c r="B26" s="4" t="s">
        <v>309</v>
      </c>
      <c r="C26" s="4" t="s">
        <v>309</v>
      </c>
      <c r="D26" s="5" t="s">
        <v>310</v>
      </c>
      <c r="E26" s="4" t="str">
        <f t="shared" si="1"/>
        <v>+923477615607</v>
      </c>
      <c r="F26" s="4" t="s">
        <v>311</v>
      </c>
      <c r="G26" s="4" t="s">
        <v>312</v>
      </c>
      <c r="H26" s="4" t="s">
        <v>313</v>
      </c>
      <c r="I26" s="4" t="s">
        <v>313</v>
      </c>
      <c r="J26" s="6" t="str">
        <f>IFERROR(__xludf.DUMMYFUNCTION("TEXT(REGEXREPLACE(I26, ""[^0-9]"", """"), ""00000-0000000-0"")"),"33102-2833000-2")</f>
        <v>33102-2833000-2</v>
      </c>
      <c r="K26" s="7">
        <v>38953.0</v>
      </c>
      <c r="L26" s="4" t="s">
        <v>31</v>
      </c>
      <c r="M26" s="4" t="s">
        <v>314</v>
      </c>
      <c r="N26" s="4" t="s">
        <v>33</v>
      </c>
      <c r="O26" s="8">
        <v>2010155.0</v>
      </c>
      <c r="P26" s="8">
        <v>39.0</v>
      </c>
      <c r="Q26" s="9">
        <v>94.401</v>
      </c>
      <c r="R26" s="4" t="s">
        <v>312</v>
      </c>
      <c r="S26" s="4" t="s">
        <v>34</v>
      </c>
      <c r="T26" s="5" t="s">
        <v>315</v>
      </c>
      <c r="U26" s="4" t="s">
        <v>316</v>
      </c>
      <c r="V26" s="10" t="s">
        <v>317</v>
      </c>
      <c r="W26" s="10" t="s">
        <v>318</v>
      </c>
      <c r="X26" s="10" t="s">
        <v>319</v>
      </c>
      <c r="Y26" s="10" t="s">
        <v>320</v>
      </c>
      <c r="Z26" s="11" t="s">
        <v>40</v>
      </c>
      <c r="AA26" s="2"/>
      <c r="AB26" s="2"/>
      <c r="AC26" s="2"/>
      <c r="AD26" s="2"/>
      <c r="AE26" s="2"/>
      <c r="AF26" s="2"/>
    </row>
    <row r="27" ht="22.5" customHeight="1">
      <c r="A27" s="12">
        <v>46023.44350699074</v>
      </c>
      <c r="B27" s="13" t="s">
        <v>321</v>
      </c>
      <c r="C27" s="13" t="s">
        <v>321</v>
      </c>
      <c r="D27" s="14" t="s">
        <v>322</v>
      </c>
      <c r="E27" s="13" t="str">
        <f t="shared" si="1"/>
        <v>+923334500616</v>
      </c>
      <c r="F27" s="13" t="s">
        <v>323</v>
      </c>
      <c r="G27" s="13" t="s">
        <v>196</v>
      </c>
      <c r="H27" s="13" t="s">
        <v>324</v>
      </c>
      <c r="I27" s="13" t="s">
        <v>324</v>
      </c>
      <c r="J27" s="15" t="str">
        <f>IFERROR(__xludf.DUMMYFUNCTION("TEXT(REGEXREPLACE(I27, ""[^0-9]"", """"), ""00000-0000000-0"")"),"35404-4959576-9")</f>
        <v>35404-4959576-9</v>
      </c>
      <c r="K27" s="16">
        <v>39083.0</v>
      </c>
      <c r="L27" s="13" t="s">
        <v>46</v>
      </c>
      <c r="M27" s="13" t="s">
        <v>325</v>
      </c>
      <c r="N27" s="13" t="s">
        <v>33</v>
      </c>
      <c r="O27" s="17">
        <v>1072152.0</v>
      </c>
      <c r="P27" s="17">
        <v>193.0</v>
      </c>
      <c r="Q27" s="18">
        <v>93.909</v>
      </c>
      <c r="R27" s="13" t="s">
        <v>196</v>
      </c>
      <c r="S27" s="13" t="s">
        <v>34</v>
      </c>
      <c r="T27" s="14" t="s">
        <v>326</v>
      </c>
      <c r="U27" s="13" t="s">
        <v>327</v>
      </c>
      <c r="V27" s="19" t="s">
        <v>328</v>
      </c>
      <c r="W27" s="19" t="s">
        <v>329</v>
      </c>
      <c r="X27" s="19" t="s">
        <v>330</v>
      </c>
      <c r="Y27" s="19" t="s">
        <v>331</v>
      </c>
      <c r="Z27" s="20" t="s">
        <v>40</v>
      </c>
      <c r="AA27" s="2"/>
      <c r="AB27" s="2"/>
      <c r="AC27" s="2"/>
      <c r="AD27" s="2"/>
      <c r="AE27" s="2"/>
      <c r="AF27" s="2"/>
    </row>
    <row r="28" ht="22.5" customHeight="1">
      <c r="A28" s="3">
        <v>46023.44359650463</v>
      </c>
      <c r="B28" s="4" t="s">
        <v>332</v>
      </c>
      <c r="C28" s="4" t="s">
        <v>332</v>
      </c>
      <c r="D28" s="5" t="s">
        <v>333</v>
      </c>
      <c r="E28" s="4" t="str">
        <f t="shared" si="1"/>
        <v>+923491421498</v>
      </c>
      <c r="F28" s="4" t="s">
        <v>334</v>
      </c>
      <c r="G28" s="4" t="s">
        <v>335</v>
      </c>
      <c r="H28" s="8">
        <v>3.310090025733E12</v>
      </c>
      <c r="I28" s="8">
        <v>3.310090025733E12</v>
      </c>
      <c r="J28" s="21" t="str">
        <f>IFERROR(__xludf.DUMMYFUNCTION("TEXT(REGEXREPLACE(I28, ""[^0-9]"", """"), ""00000-0000000-0"")"),"#VALUE!")</f>
        <v>#VALUE!</v>
      </c>
      <c r="K28" s="7">
        <v>38487.0</v>
      </c>
      <c r="L28" s="4" t="s">
        <v>46</v>
      </c>
      <c r="M28" s="4" t="s">
        <v>336</v>
      </c>
      <c r="N28" s="4" t="s">
        <v>48</v>
      </c>
      <c r="O28" s="8">
        <v>2090240.0</v>
      </c>
      <c r="P28" s="8">
        <v>229.0</v>
      </c>
      <c r="Q28" s="9">
        <v>93.8667</v>
      </c>
      <c r="R28" s="5" t="s">
        <v>337</v>
      </c>
      <c r="S28" s="4" t="s">
        <v>50</v>
      </c>
      <c r="T28" s="5" t="s">
        <v>338</v>
      </c>
      <c r="U28" s="4" t="s">
        <v>332</v>
      </c>
      <c r="V28" s="10" t="s">
        <v>339</v>
      </c>
      <c r="W28" s="10" t="s">
        <v>340</v>
      </c>
      <c r="X28" s="10" t="s">
        <v>341</v>
      </c>
      <c r="Y28" s="10" t="s">
        <v>342</v>
      </c>
      <c r="Z28" s="11" t="s">
        <v>40</v>
      </c>
      <c r="AA28" s="2"/>
      <c r="AB28" s="2"/>
      <c r="AC28" s="2"/>
      <c r="AD28" s="2"/>
      <c r="AE28" s="2"/>
      <c r="AF28" s="2"/>
    </row>
    <row r="29" ht="22.5" customHeight="1">
      <c r="A29" s="12">
        <v>46023.44372083333</v>
      </c>
      <c r="B29" s="13" t="s">
        <v>343</v>
      </c>
      <c r="C29" s="13" t="s">
        <v>343</v>
      </c>
      <c r="D29" s="13" t="s">
        <v>344</v>
      </c>
      <c r="E29" s="24" t="str">
        <f t="shared" si="1"/>
        <v>+92332-6610999</v>
      </c>
      <c r="F29" s="13" t="s">
        <v>345</v>
      </c>
      <c r="G29" s="13" t="s">
        <v>346</v>
      </c>
      <c r="H29" s="13" t="s">
        <v>347</v>
      </c>
      <c r="I29" s="13" t="s">
        <v>347</v>
      </c>
      <c r="J29" s="15" t="str">
        <f>IFERROR(__xludf.DUMMYFUNCTION("TEXT(REGEXREPLACE(I29, ""[^0-9]"", """"), ""00000-0000000-0"")"),"33100-8324782-1")</f>
        <v>33100-8324782-1</v>
      </c>
      <c r="K29" s="16">
        <v>38609.0</v>
      </c>
      <c r="L29" s="13" t="s">
        <v>46</v>
      </c>
      <c r="M29" s="13" t="s">
        <v>348</v>
      </c>
      <c r="N29" s="13" t="s">
        <v>33</v>
      </c>
      <c r="O29" s="17">
        <v>2070446.0</v>
      </c>
      <c r="P29" s="17">
        <v>28.0</v>
      </c>
      <c r="Q29" s="18">
        <v>94.5424</v>
      </c>
      <c r="R29" s="13" t="s">
        <v>349</v>
      </c>
      <c r="S29" s="13" t="s">
        <v>95</v>
      </c>
      <c r="T29" s="13" t="s">
        <v>350</v>
      </c>
      <c r="U29" s="13" t="s">
        <v>343</v>
      </c>
      <c r="V29" s="19" t="s">
        <v>351</v>
      </c>
      <c r="W29" s="19" t="s">
        <v>352</v>
      </c>
      <c r="X29" s="19" t="s">
        <v>353</v>
      </c>
      <c r="Y29" s="19" t="s">
        <v>354</v>
      </c>
      <c r="Z29" s="20" t="s">
        <v>40</v>
      </c>
      <c r="AA29" s="2"/>
      <c r="AB29" s="2"/>
      <c r="AC29" s="2"/>
      <c r="AD29" s="2"/>
      <c r="AE29" s="2"/>
      <c r="AF29" s="2"/>
    </row>
    <row r="30" ht="22.5" customHeight="1">
      <c r="A30" s="3">
        <v>46023.44378554398</v>
      </c>
      <c r="B30" s="4" t="s">
        <v>355</v>
      </c>
      <c r="C30" s="4" t="s">
        <v>355</v>
      </c>
      <c r="D30" s="5" t="s">
        <v>356</v>
      </c>
      <c r="E30" s="4" t="str">
        <f t="shared" si="1"/>
        <v>+923334841606</v>
      </c>
      <c r="F30" s="4" t="s">
        <v>357</v>
      </c>
      <c r="G30" s="4" t="s">
        <v>358</v>
      </c>
      <c r="H30" s="8">
        <v>3.540452904893E12</v>
      </c>
      <c r="I30" s="8">
        <v>3.540452904893E12</v>
      </c>
      <c r="J30" s="21" t="str">
        <f>IFERROR(__xludf.DUMMYFUNCTION("TEXT(REGEXREPLACE(I30, ""[^0-9]"", """"), ""00000-0000000-0"")"),"#VALUE!")</f>
        <v>#VALUE!</v>
      </c>
      <c r="K30" s="7">
        <v>37613.0</v>
      </c>
      <c r="L30" s="4" t="s">
        <v>46</v>
      </c>
      <c r="M30" s="4" t="s">
        <v>359</v>
      </c>
      <c r="N30" s="4" t="s">
        <v>33</v>
      </c>
      <c r="O30" s="8">
        <v>1071888.0</v>
      </c>
      <c r="P30" s="8">
        <v>192.0</v>
      </c>
      <c r="Q30" s="9">
        <v>93.909</v>
      </c>
      <c r="R30" s="4" t="s">
        <v>358</v>
      </c>
      <c r="S30" s="4" t="s">
        <v>34</v>
      </c>
      <c r="T30" s="5" t="s">
        <v>360</v>
      </c>
      <c r="U30" s="4" t="s">
        <v>361</v>
      </c>
      <c r="V30" s="10" t="s">
        <v>362</v>
      </c>
      <c r="W30" s="10" t="s">
        <v>363</v>
      </c>
      <c r="X30" s="10" t="s">
        <v>364</v>
      </c>
      <c r="Y30" s="10" t="s">
        <v>365</v>
      </c>
      <c r="Z30" s="11" t="s">
        <v>40</v>
      </c>
      <c r="AA30" s="2"/>
      <c r="AB30" s="2"/>
      <c r="AC30" s="2"/>
      <c r="AD30" s="2"/>
      <c r="AE30" s="2"/>
      <c r="AF30" s="2"/>
    </row>
    <row r="31" ht="22.5" customHeight="1">
      <c r="A31" s="12">
        <v>46023.44381722222</v>
      </c>
      <c r="B31" s="13" t="s">
        <v>366</v>
      </c>
      <c r="C31" s="13" t="s">
        <v>366</v>
      </c>
      <c r="D31" s="14" t="s">
        <v>367</v>
      </c>
      <c r="E31" s="13" t="str">
        <f t="shared" si="1"/>
        <v>+923266296974</v>
      </c>
      <c r="F31" s="13" t="s">
        <v>368</v>
      </c>
      <c r="G31" s="13" t="s">
        <v>369</v>
      </c>
      <c r="H31" s="17">
        <v>3.310049862941E12</v>
      </c>
      <c r="I31" s="17">
        <v>3.310049862941E12</v>
      </c>
      <c r="J31" s="22" t="str">
        <f>IFERROR(__xludf.DUMMYFUNCTION("TEXT(REGEXREPLACE(I31, ""[^0-9]"", """"), ""00000-0000000-0"")"),"#VALUE!")</f>
        <v>#VALUE!</v>
      </c>
      <c r="K31" s="16">
        <v>38560.0</v>
      </c>
      <c r="L31" s="13" t="s">
        <v>46</v>
      </c>
      <c r="M31" s="13" t="s">
        <v>370</v>
      </c>
      <c r="N31" s="13" t="s">
        <v>371</v>
      </c>
      <c r="O31" s="17">
        <v>2091010.0</v>
      </c>
      <c r="P31" s="17">
        <v>15.0</v>
      </c>
      <c r="Q31" s="18">
        <v>94.8859</v>
      </c>
      <c r="R31" s="13" t="s">
        <v>369</v>
      </c>
      <c r="S31" s="13" t="s">
        <v>34</v>
      </c>
      <c r="T31" s="14" t="s">
        <v>372</v>
      </c>
      <c r="U31" s="13" t="s">
        <v>373</v>
      </c>
      <c r="V31" s="19" t="s">
        <v>374</v>
      </c>
      <c r="W31" s="19" t="s">
        <v>375</v>
      </c>
      <c r="X31" s="19" t="s">
        <v>376</v>
      </c>
      <c r="Y31" s="19" t="s">
        <v>377</v>
      </c>
      <c r="Z31" s="20" t="s">
        <v>40</v>
      </c>
      <c r="AA31" s="2"/>
      <c r="AB31" s="2"/>
      <c r="AC31" s="2"/>
      <c r="AD31" s="2"/>
      <c r="AE31" s="2"/>
      <c r="AF31" s="2"/>
    </row>
    <row r="32" ht="22.5" customHeight="1">
      <c r="A32" s="3">
        <v>46023.443985868056</v>
      </c>
      <c r="B32" s="4" t="s">
        <v>378</v>
      </c>
      <c r="C32" s="4" t="s">
        <v>378</v>
      </c>
      <c r="D32" s="5" t="s">
        <v>379</v>
      </c>
      <c r="E32" s="4" t="str">
        <f t="shared" si="1"/>
        <v>+923105373024</v>
      </c>
      <c r="F32" s="4" t="s">
        <v>380</v>
      </c>
      <c r="G32" s="4" t="s">
        <v>381</v>
      </c>
      <c r="H32" s="8">
        <v>3.710590436539E12</v>
      </c>
      <c r="I32" s="8">
        <v>3.710590436539E12</v>
      </c>
      <c r="J32" s="21" t="str">
        <f>IFERROR(__xludf.DUMMYFUNCTION("TEXT(REGEXREPLACE(I32, ""[^0-9]"", """"), ""00000-0000000-0"")"),"#VALUE!")</f>
        <v>#VALUE!</v>
      </c>
      <c r="K32" s="7">
        <v>38668.0</v>
      </c>
      <c r="L32" s="4" t="s">
        <v>46</v>
      </c>
      <c r="M32" s="4" t="s">
        <v>382</v>
      </c>
      <c r="N32" s="4" t="s">
        <v>383</v>
      </c>
      <c r="O32" s="8">
        <v>3008785.0</v>
      </c>
      <c r="P32" s="8">
        <v>164.0</v>
      </c>
      <c r="Q32" s="9">
        <v>92.5</v>
      </c>
      <c r="R32" s="4" t="s">
        <v>384</v>
      </c>
      <c r="S32" s="4" t="s">
        <v>50</v>
      </c>
      <c r="T32" s="5" t="s">
        <v>385</v>
      </c>
      <c r="U32" s="4" t="s">
        <v>386</v>
      </c>
      <c r="V32" s="10" t="s">
        <v>387</v>
      </c>
      <c r="W32" s="10" t="s">
        <v>388</v>
      </c>
      <c r="X32" s="10" t="s">
        <v>389</v>
      </c>
      <c r="Y32" s="10" t="s">
        <v>390</v>
      </c>
      <c r="Z32" s="11" t="s">
        <v>40</v>
      </c>
      <c r="AA32" s="2"/>
      <c r="AB32" s="2"/>
      <c r="AC32" s="2"/>
      <c r="AD32" s="2"/>
      <c r="AE32" s="2"/>
      <c r="AF32" s="2"/>
    </row>
    <row r="33" ht="22.5" customHeight="1">
      <c r="A33" s="12">
        <v>46023.44430048611</v>
      </c>
      <c r="B33" s="13" t="s">
        <v>391</v>
      </c>
      <c r="C33" s="13" t="s">
        <v>391</v>
      </c>
      <c r="D33" s="14" t="s">
        <v>392</v>
      </c>
      <c r="E33" s="13" t="str">
        <f t="shared" si="1"/>
        <v>+923066308210</v>
      </c>
      <c r="F33" s="13" t="s">
        <v>393</v>
      </c>
      <c r="G33" s="13" t="s">
        <v>394</v>
      </c>
      <c r="H33" s="17">
        <v>3.640136831495E12</v>
      </c>
      <c r="I33" s="17">
        <v>3.640136831495E12</v>
      </c>
      <c r="J33" s="22" t="str">
        <f>IFERROR(__xludf.DUMMYFUNCTION("TEXT(REGEXREPLACE(I33, ""[^0-9]"", """"), ""00000-0000000-0"")"),"#VALUE!")</f>
        <v>#VALUE!</v>
      </c>
      <c r="K33" s="16">
        <v>38673.0</v>
      </c>
      <c r="L33" s="13" t="s">
        <v>46</v>
      </c>
      <c r="M33" s="13" t="s">
        <v>395</v>
      </c>
      <c r="N33" s="13" t="s">
        <v>33</v>
      </c>
      <c r="O33" s="17">
        <v>8070359.0</v>
      </c>
      <c r="P33" s="17">
        <v>145.0</v>
      </c>
      <c r="Q33" s="18">
        <v>94.0</v>
      </c>
      <c r="R33" s="13" t="s">
        <v>394</v>
      </c>
      <c r="S33" s="13" t="s">
        <v>50</v>
      </c>
      <c r="T33" s="14" t="s">
        <v>396</v>
      </c>
      <c r="U33" s="13" t="s">
        <v>391</v>
      </c>
      <c r="V33" s="19" t="s">
        <v>397</v>
      </c>
      <c r="W33" s="19" t="s">
        <v>398</v>
      </c>
      <c r="X33" s="19" t="s">
        <v>399</v>
      </c>
      <c r="Y33" s="19" t="s">
        <v>400</v>
      </c>
      <c r="Z33" s="20" t="s">
        <v>40</v>
      </c>
      <c r="AA33" s="2"/>
      <c r="AB33" s="2"/>
      <c r="AC33" s="2"/>
      <c r="AD33" s="2"/>
      <c r="AE33" s="2"/>
      <c r="AF33" s="2"/>
    </row>
    <row r="34" ht="22.5" customHeight="1">
      <c r="A34" s="3">
        <v>46023.44434724537</v>
      </c>
      <c r="B34" s="4" t="s">
        <v>401</v>
      </c>
      <c r="C34" s="4" t="s">
        <v>401</v>
      </c>
      <c r="D34" s="5" t="s">
        <v>402</v>
      </c>
      <c r="E34" s="4" t="str">
        <f t="shared" si="1"/>
        <v>+923395055587</v>
      </c>
      <c r="F34" s="4" t="s">
        <v>403</v>
      </c>
      <c r="G34" s="4" t="s">
        <v>404</v>
      </c>
      <c r="H34" s="4" t="s">
        <v>405</v>
      </c>
      <c r="I34" s="4" t="s">
        <v>405</v>
      </c>
      <c r="J34" s="6" t="str">
        <f>IFERROR(__xludf.DUMMYFUNCTION("TEXT(REGEXREPLACE(I34, ""[^0-9]"", """"), ""00000-0000000-0"")"),"33104-2255361-7")</f>
        <v>33104-2255361-7</v>
      </c>
      <c r="K34" s="7">
        <v>38749.0</v>
      </c>
      <c r="L34" s="4" t="s">
        <v>46</v>
      </c>
      <c r="M34" s="4" t="s">
        <v>406</v>
      </c>
      <c r="N34" s="4" t="s">
        <v>33</v>
      </c>
      <c r="O34" s="8">
        <v>2071411.0</v>
      </c>
      <c r="P34" s="8">
        <v>114.0</v>
      </c>
      <c r="Q34" s="9">
        <v>94.0758</v>
      </c>
      <c r="R34" s="4" t="s">
        <v>407</v>
      </c>
      <c r="S34" s="4" t="s">
        <v>95</v>
      </c>
      <c r="T34" s="5" t="s">
        <v>408</v>
      </c>
      <c r="U34" s="4" t="s">
        <v>409</v>
      </c>
      <c r="V34" s="10" t="s">
        <v>410</v>
      </c>
      <c r="W34" s="10" t="s">
        <v>411</v>
      </c>
      <c r="X34" s="10" t="s">
        <v>412</v>
      </c>
      <c r="Y34" s="10" t="s">
        <v>413</v>
      </c>
      <c r="Z34" s="11" t="s">
        <v>40</v>
      </c>
      <c r="AA34" s="2"/>
      <c r="AB34" s="2"/>
      <c r="AC34" s="2"/>
      <c r="AD34" s="2"/>
      <c r="AE34" s="2"/>
      <c r="AF34" s="2"/>
    </row>
    <row r="35" ht="22.5" customHeight="1">
      <c r="A35" s="12">
        <v>46023.44443577546</v>
      </c>
      <c r="B35" s="13" t="s">
        <v>414</v>
      </c>
      <c r="C35" s="13" t="s">
        <v>414</v>
      </c>
      <c r="D35" s="14" t="s">
        <v>415</v>
      </c>
      <c r="E35" s="13" t="str">
        <f t="shared" si="1"/>
        <v>+923214113819</v>
      </c>
      <c r="F35" s="13" t="s">
        <v>416</v>
      </c>
      <c r="G35" s="13" t="s">
        <v>417</v>
      </c>
      <c r="H35" s="17">
        <v>3.110233030693E12</v>
      </c>
      <c r="I35" s="17">
        <v>3.110233030693E12</v>
      </c>
      <c r="J35" s="22" t="str">
        <f>IFERROR(__xludf.DUMMYFUNCTION("TEXT(REGEXREPLACE(I35, ""[^0-9]"", """"), ""00000-0000000-0"")"),"#VALUE!")</f>
        <v>#VALUE!</v>
      </c>
      <c r="K35" s="16">
        <v>39121.0</v>
      </c>
      <c r="L35" s="13" t="s">
        <v>46</v>
      </c>
      <c r="M35" s="13" t="s">
        <v>418</v>
      </c>
      <c r="N35" s="13" t="s">
        <v>33</v>
      </c>
      <c r="O35" s="17">
        <v>1161193.0</v>
      </c>
      <c r="P35" s="17">
        <v>99.0</v>
      </c>
      <c r="Q35" s="18">
        <v>94.118</v>
      </c>
      <c r="R35" s="13" t="s">
        <v>417</v>
      </c>
      <c r="S35" s="13" t="s">
        <v>34</v>
      </c>
      <c r="T35" s="14" t="s">
        <v>419</v>
      </c>
      <c r="U35" s="13" t="s">
        <v>420</v>
      </c>
      <c r="V35" s="19" t="s">
        <v>421</v>
      </c>
      <c r="W35" s="19" t="s">
        <v>422</v>
      </c>
      <c r="X35" s="19" t="s">
        <v>423</v>
      </c>
      <c r="Y35" s="23"/>
      <c r="Z35" s="20" t="s">
        <v>40</v>
      </c>
      <c r="AA35" s="2"/>
      <c r="AB35" s="2"/>
      <c r="AC35" s="2"/>
      <c r="AD35" s="2"/>
      <c r="AE35" s="2"/>
      <c r="AF35" s="2"/>
    </row>
    <row r="36" ht="22.5" customHeight="1">
      <c r="A36" s="3">
        <v>46023.44450759259</v>
      </c>
      <c r="B36" s="4" t="s">
        <v>424</v>
      </c>
      <c r="C36" s="4" t="s">
        <v>424</v>
      </c>
      <c r="D36" s="5" t="s">
        <v>425</v>
      </c>
      <c r="E36" s="4" t="str">
        <f t="shared" si="1"/>
        <v>+923007661685</v>
      </c>
      <c r="F36" s="4" t="s">
        <v>426</v>
      </c>
      <c r="G36" s="4" t="s">
        <v>427</v>
      </c>
      <c r="H36" s="8">
        <v>3.310298061728E12</v>
      </c>
      <c r="I36" s="8">
        <v>3.310298061728E12</v>
      </c>
      <c r="J36" s="21" t="str">
        <f>IFERROR(__xludf.DUMMYFUNCTION("TEXT(REGEXREPLACE(I36, ""[^0-9]"", """"), ""00000-0000000-0"")"),"#VALUE!")</f>
        <v>#VALUE!</v>
      </c>
      <c r="K36" s="7">
        <v>39093.0</v>
      </c>
      <c r="L36" s="4" t="s">
        <v>31</v>
      </c>
      <c r="M36" s="4" t="s">
        <v>428</v>
      </c>
      <c r="N36" s="4" t="s">
        <v>33</v>
      </c>
      <c r="O36" s="8">
        <v>2010355.0</v>
      </c>
      <c r="P36" s="8">
        <v>75.0</v>
      </c>
      <c r="Q36" s="9">
        <v>94.2348</v>
      </c>
      <c r="R36" s="4" t="s">
        <v>429</v>
      </c>
      <c r="S36" s="4" t="s">
        <v>50</v>
      </c>
      <c r="T36" s="5" t="s">
        <v>430</v>
      </c>
      <c r="U36" s="4" t="s">
        <v>431</v>
      </c>
      <c r="V36" s="10" t="s">
        <v>432</v>
      </c>
      <c r="W36" s="10" t="s">
        <v>433</v>
      </c>
      <c r="X36" s="10" t="s">
        <v>434</v>
      </c>
      <c r="Y36" s="10" t="s">
        <v>435</v>
      </c>
      <c r="Z36" s="11" t="s">
        <v>40</v>
      </c>
      <c r="AA36" s="2"/>
      <c r="AB36" s="2"/>
      <c r="AC36" s="2"/>
      <c r="AD36" s="2"/>
      <c r="AE36" s="2"/>
      <c r="AF36" s="2"/>
    </row>
    <row r="37" ht="22.5" customHeight="1">
      <c r="A37" s="12">
        <v>46023.44452982639</v>
      </c>
      <c r="B37" s="13" t="s">
        <v>436</v>
      </c>
      <c r="C37" s="13" t="s">
        <v>437</v>
      </c>
      <c r="D37" s="14" t="s">
        <v>438</v>
      </c>
      <c r="E37" s="13" t="str">
        <f t="shared" si="1"/>
        <v>+923300799573</v>
      </c>
      <c r="F37" s="13" t="s">
        <v>439</v>
      </c>
      <c r="G37" s="13" t="s">
        <v>440</v>
      </c>
      <c r="H37" s="17">
        <v>3.81030410138E12</v>
      </c>
      <c r="I37" s="17">
        <v>3.81030410138E12</v>
      </c>
      <c r="J37" s="22" t="str">
        <f>IFERROR(__xludf.DUMMYFUNCTION("TEXT(REGEXREPLACE(I37, ""[^0-9]"", """"), ""00000-0000000-0"")"),"#VALUE!")</f>
        <v>#VALUE!</v>
      </c>
      <c r="K37" s="16">
        <v>38452.0</v>
      </c>
      <c r="L37" s="13" t="s">
        <v>31</v>
      </c>
      <c r="M37" s="13" t="s">
        <v>441</v>
      </c>
      <c r="N37" s="13" t="s">
        <v>442</v>
      </c>
      <c r="O37" s="17">
        <v>2011099.0</v>
      </c>
      <c r="P37" s="17">
        <v>212.0</v>
      </c>
      <c r="Q37" s="18">
        <v>93.8864</v>
      </c>
      <c r="R37" s="13" t="s">
        <v>443</v>
      </c>
      <c r="S37" s="13" t="s">
        <v>50</v>
      </c>
      <c r="T37" s="14" t="s">
        <v>444</v>
      </c>
      <c r="U37" s="13" t="s">
        <v>445</v>
      </c>
      <c r="V37" s="19" t="s">
        <v>446</v>
      </c>
      <c r="W37" s="19" t="s">
        <v>447</v>
      </c>
      <c r="X37" s="19" t="s">
        <v>448</v>
      </c>
      <c r="Y37" s="19" t="s">
        <v>449</v>
      </c>
      <c r="Z37" s="20" t="s">
        <v>40</v>
      </c>
      <c r="AA37" s="2"/>
      <c r="AB37" s="2"/>
      <c r="AC37" s="2"/>
      <c r="AD37" s="2"/>
      <c r="AE37" s="2"/>
      <c r="AF37" s="2"/>
    </row>
    <row r="38" ht="22.5" customHeight="1">
      <c r="A38" s="3">
        <v>46023.44460861111</v>
      </c>
      <c r="B38" s="4" t="s">
        <v>450</v>
      </c>
      <c r="C38" s="4" t="s">
        <v>450</v>
      </c>
      <c r="D38" s="5" t="s">
        <v>451</v>
      </c>
      <c r="E38" s="4" t="str">
        <f t="shared" si="1"/>
        <v>+923297419896</v>
      </c>
      <c r="F38" s="4" t="s">
        <v>452</v>
      </c>
      <c r="G38" s="4" t="s">
        <v>453</v>
      </c>
      <c r="H38" s="4" t="s">
        <v>454</v>
      </c>
      <c r="I38" s="4" t="s">
        <v>454</v>
      </c>
      <c r="J38" s="6" t="str">
        <f>IFERROR(__xludf.DUMMYFUNCTION("TEXT(REGEXREPLACE(I38, ""[^0-9]"", """"), ""00000-0000000-0"")"),"33100-9428100-2")</f>
        <v>33100-9428100-2</v>
      </c>
      <c r="K38" s="7">
        <v>37973.0</v>
      </c>
      <c r="L38" s="4" t="s">
        <v>31</v>
      </c>
      <c r="M38" s="4" t="s">
        <v>455</v>
      </c>
      <c r="N38" s="4" t="s">
        <v>48</v>
      </c>
      <c r="O38" s="8">
        <v>2011992.0</v>
      </c>
      <c r="P38" s="8">
        <v>5.0</v>
      </c>
      <c r="Q38" s="9">
        <v>95.3</v>
      </c>
      <c r="R38" s="4" t="s">
        <v>453</v>
      </c>
      <c r="S38" s="4" t="s">
        <v>50</v>
      </c>
      <c r="T38" s="5" t="s">
        <v>456</v>
      </c>
      <c r="U38" s="4" t="s">
        <v>457</v>
      </c>
      <c r="V38" s="10" t="s">
        <v>458</v>
      </c>
      <c r="W38" s="10" t="s">
        <v>459</v>
      </c>
      <c r="X38" s="10" t="s">
        <v>460</v>
      </c>
      <c r="Y38" s="10" t="s">
        <v>461</v>
      </c>
      <c r="Z38" s="11" t="s">
        <v>40</v>
      </c>
      <c r="AA38" s="2"/>
      <c r="AB38" s="2"/>
      <c r="AC38" s="2"/>
      <c r="AD38" s="2"/>
      <c r="AE38" s="2"/>
      <c r="AF38" s="2"/>
    </row>
    <row r="39" ht="22.5" customHeight="1">
      <c r="A39" s="12">
        <v>46023.44465981481</v>
      </c>
      <c r="B39" s="13" t="s">
        <v>462</v>
      </c>
      <c r="C39" s="13" t="s">
        <v>462</v>
      </c>
      <c r="D39" s="14" t="s">
        <v>463</v>
      </c>
      <c r="E39" s="13" t="str">
        <f t="shared" si="1"/>
        <v>+923452967589</v>
      </c>
      <c r="F39" s="13" t="s">
        <v>464</v>
      </c>
      <c r="G39" s="13" t="s">
        <v>465</v>
      </c>
      <c r="H39" s="17">
        <v>3.810232356808E12</v>
      </c>
      <c r="I39" s="17">
        <v>3.810232356808E12</v>
      </c>
      <c r="J39" s="22" t="str">
        <f>IFERROR(__xludf.DUMMYFUNCTION("TEXT(REGEXREPLACE(I39, ""[^0-9]"", """"), ""00000-0000000-0"")"),"#VALUE!")</f>
        <v>#VALUE!</v>
      </c>
      <c r="K39" s="16">
        <v>38411.0</v>
      </c>
      <c r="L39" s="13" t="s">
        <v>31</v>
      </c>
      <c r="M39" s="13" t="s">
        <v>466</v>
      </c>
      <c r="N39" s="13" t="s">
        <v>33</v>
      </c>
      <c r="O39" s="17">
        <v>3010734.0</v>
      </c>
      <c r="P39" s="17">
        <v>177.0</v>
      </c>
      <c r="Q39" s="18">
        <v>93.9273</v>
      </c>
      <c r="R39" s="13" t="s">
        <v>465</v>
      </c>
      <c r="S39" s="13" t="s">
        <v>50</v>
      </c>
      <c r="T39" s="14" t="s">
        <v>467</v>
      </c>
      <c r="U39" s="19" t="s">
        <v>468</v>
      </c>
      <c r="V39" s="19" t="s">
        <v>469</v>
      </c>
      <c r="W39" s="19" t="s">
        <v>470</v>
      </c>
      <c r="X39" s="19" t="s">
        <v>471</v>
      </c>
      <c r="Y39" s="19" t="s">
        <v>472</v>
      </c>
      <c r="Z39" s="20" t="s">
        <v>40</v>
      </c>
      <c r="AA39" s="2"/>
      <c r="AB39" s="2"/>
      <c r="AC39" s="2"/>
      <c r="AD39" s="2"/>
      <c r="AE39" s="2"/>
      <c r="AF39" s="2"/>
    </row>
    <row r="40" ht="22.5" customHeight="1">
      <c r="A40" s="3">
        <v>46023.44467300926</v>
      </c>
      <c r="B40" s="4" t="s">
        <v>473</v>
      </c>
      <c r="C40" s="4" t="s">
        <v>473</v>
      </c>
      <c r="D40" s="5" t="s">
        <v>474</v>
      </c>
      <c r="E40" s="4" t="str">
        <f t="shared" si="1"/>
        <v>+923366500819</v>
      </c>
      <c r="F40" s="4" t="s">
        <v>475</v>
      </c>
      <c r="G40" s="4" t="s">
        <v>476</v>
      </c>
      <c r="H40" s="4" t="s">
        <v>477</v>
      </c>
      <c r="I40" s="4" t="s">
        <v>477</v>
      </c>
      <c r="J40" s="6" t="str">
        <f>IFERROR(__xludf.DUMMYFUNCTION("TEXT(REGEXREPLACE(I40, ""[^0-9]"", """"), ""00000-0000000-0"")"),"33100-0690147-6")</f>
        <v>33100-0690147-6</v>
      </c>
      <c r="K40" s="7">
        <v>37279.0</v>
      </c>
      <c r="L40" s="4" t="s">
        <v>31</v>
      </c>
      <c r="M40" s="4" t="s">
        <v>478</v>
      </c>
      <c r="N40" s="4" t="s">
        <v>33</v>
      </c>
      <c r="O40" s="8">
        <v>2010271.0</v>
      </c>
      <c r="P40" s="8">
        <v>221.0</v>
      </c>
      <c r="Q40" s="9">
        <v>93.8747</v>
      </c>
      <c r="R40" s="4" t="s">
        <v>476</v>
      </c>
      <c r="S40" s="4" t="s">
        <v>50</v>
      </c>
      <c r="T40" s="5" t="s">
        <v>479</v>
      </c>
      <c r="U40" s="4" t="s">
        <v>480</v>
      </c>
      <c r="V40" s="25"/>
      <c r="W40" s="25"/>
      <c r="X40" s="25"/>
      <c r="Y40" s="25"/>
      <c r="Z40" s="11" t="s">
        <v>40</v>
      </c>
      <c r="AA40" s="2"/>
      <c r="AB40" s="2"/>
      <c r="AC40" s="2"/>
      <c r="AD40" s="2"/>
      <c r="AE40" s="2"/>
      <c r="AF40" s="2"/>
    </row>
    <row r="41" ht="22.5" customHeight="1">
      <c r="A41" s="12">
        <v>46023.44479877315</v>
      </c>
      <c r="B41" s="13" t="s">
        <v>481</v>
      </c>
      <c r="C41" s="13" t="s">
        <v>481</v>
      </c>
      <c r="D41" s="14" t="s">
        <v>482</v>
      </c>
      <c r="E41" s="13" t="str">
        <f t="shared" si="1"/>
        <v>+923106211066</v>
      </c>
      <c r="F41" s="13" t="s">
        <v>483</v>
      </c>
      <c r="G41" s="13" t="s">
        <v>484</v>
      </c>
      <c r="H41" s="17">
        <v>3.22035779534E12</v>
      </c>
      <c r="I41" s="17">
        <v>3.22035779534E12</v>
      </c>
      <c r="J41" s="22" t="str">
        <f>IFERROR(__xludf.DUMMYFUNCTION("TEXT(REGEXREPLACE(I41, ""[^0-9]"", """"), ""00000-0000000-0"")"),"#VALUE!")</f>
        <v>#VALUE!</v>
      </c>
      <c r="K41" s="16">
        <v>38230.0</v>
      </c>
      <c r="L41" s="13" t="s">
        <v>31</v>
      </c>
      <c r="M41" s="13" t="s">
        <v>485</v>
      </c>
      <c r="N41" s="13" t="s">
        <v>33</v>
      </c>
      <c r="O41" s="17">
        <v>1210884.0</v>
      </c>
      <c r="P41" s="17">
        <v>132.0</v>
      </c>
      <c r="Q41" s="18">
        <v>0.940091</v>
      </c>
      <c r="R41" s="13" t="s">
        <v>486</v>
      </c>
      <c r="S41" s="13" t="s">
        <v>34</v>
      </c>
      <c r="T41" s="14" t="s">
        <v>487</v>
      </c>
      <c r="U41" s="13" t="s">
        <v>488</v>
      </c>
      <c r="V41" s="19" t="s">
        <v>489</v>
      </c>
      <c r="W41" s="19" t="s">
        <v>490</v>
      </c>
      <c r="X41" s="19" t="s">
        <v>491</v>
      </c>
      <c r="Y41" s="19" t="s">
        <v>492</v>
      </c>
      <c r="Z41" s="20" t="s">
        <v>40</v>
      </c>
      <c r="AA41" s="2"/>
      <c r="AB41" s="2"/>
      <c r="AC41" s="2"/>
      <c r="AD41" s="2"/>
      <c r="AE41" s="2"/>
      <c r="AF41" s="2"/>
    </row>
    <row r="42" ht="22.5" customHeight="1">
      <c r="A42" s="3">
        <v>46023.444994791666</v>
      </c>
      <c r="B42" s="4" t="s">
        <v>493</v>
      </c>
      <c r="C42" s="4" t="s">
        <v>493</v>
      </c>
      <c r="D42" s="5" t="s">
        <v>494</v>
      </c>
      <c r="E42" s="4" t="str">
        <f t="shared" si="1"/>
        <v>+923311119215</v>
      </c>
      <c r="F42" s="4" t="s">
        <v>495</v>
      </c>
      <c r="G42" s="4" t="s">
        <v>496</v>
      </c>
      <c r="H42" s="8">
        <v>3.310012983315E12</v>
      </c>
      <c r="I42" s="8">
        <v>3.310012983315E12</v>
      </c>
      <c r="J42" s="21" t="str">
        <f>IFERROR(__xludf.DUMMYFUNCTION("TEXT(REGEXREPLACE(I42, ""[^0-9]"", """"), ""00000-0000000-0"")"),"#VALUE!")</f>
        <v>#VALUE!</v>
      </c>
      <c r="K42" s="7">
        <v>38949.0</v>
      </c>
      <c r="L42" s="4" t="s">
        <v>46</v>
      </c>
      <c r="M42" s="4" t="s">
        <v>497</v>
      </c>
      <c r="N42" s="4" t="s">
        <v>48</v>
      </c>
      <c r="O42" s="8">
        <v>2091127.0</v>
      </c>
      <c r="P42" s="8">
        <v>1.0</v>
      </c>
      <c r="Q42" s="9">
        <v>96.1</v>
      </c>
      <c r="R42" s="4" t="s">
        <v>498</v>
      </c>
      <c r="S42" s="4" t="s">
        <v>95</v>
      </c>
      <c r="T42" s="5" t="s">
        <v>499</v>
      </c>
      <c r="U42" s="4" t="s">
        <v>500</v>
      </c>
      <c r="V42" s="10" t="s">
        <v>501</v>
      </c>
      <c r="W42" s="10" t="s">
        <v>502</v>
      </c>
      <c r="X42" s="10" t="s">
        <v>503</v>
      </c>
      <c r="Y42" s="10" t="s">
        <v>504</v>
      </c>
      <c r="Z42" s="11" t="s">
        <v>40</v>
      </c>
      <c r="AA42" s="2"/>
      <c r="AB42" s="2"/>
      <c r="AC42" s="2"/>
      <c r="AD42" s="2"/>
      <c r="AE42" s="2"/>
      <c r="AF42" s="2"/>
    </row>
    <row r="43" ht="22.5" customHeight="1">
      <c r="A43" s="12">
        <v>46023.44527766204</v>
      </c>
      <c r="B43" s="13" t="s">
        <v>505</v>
      </c>
      <c r="C43" s="13" t="s">
        <v>505</v>
      </c>
      <c r="D43" s="14" t="s">
        <v>506</v>
      </c>
      <c r="E43" s="13" t="str">
        <f t="shared" si="1"/>
        <v>+923047251222</v>
      </c>
      <c r="F43" s="13" t="s">
        <v>507</v>
      </c>
      <c r="G43" s="13" t="s">
        <v>508</v>
      </c>
      <c r="H43" s="13" t="s">
        <v>509</v>
      </c>
      <c r="I43" s="13" t="s">
        <v>509</v>
      </c>
      <c r="J43" s="15" t="str">
        <f>IFERROR(__xludf.DUMMYFUNCTION("TEXT(REGEXREPLACE(I43, ""[^0-9]"", """"), ""00000-0000000-0"")"),"33100-1808431-9")</f>
        <v>33100-1808431-9</v>
      </c>
      <c r="K43" s="16">
        <v>38961.0</v>
      </c>
      <c r="L43" s="13" t="s">
        <v>46</v>
      </c>
      <c r="M43" s="13" t="s">
        <v>510</v>
      </c>
      <c r="N43" s="13" t="s">
        <v>33</v>
      </c>
      <c r="O43" s="17">
        <v>2090753.0</v>
      </c>
      <c r="P43" s="17">
        <v>20.0</v>
      </c>
      <c r="Q43" s="18">
        <v>94.7283</v>
      </c>
      <c r="R43" s="13" t="s">
        <v>508</v>
      </c>
      <c r="S43" s="13" t="s">
        <v>34</v>
      </c>
      <c r="T43" s="14" t="s">
        <v>511</v>
      </c>
      <c r="U43" s="13" t="s">
        <v>512</v>
      </c>
      <c r="V43" s="19" t="s">
        <v>513</v>
      </c>
      <c r="W43" s="19" t="s">
        <v>514</v>
      </c>
      <c r="X43" s="19" t="s">
        <v>515</v>
      </c>
      <c r="Y43" s="19" t="s">
        <v>516</v>
      </c>
      <c r="Z43" s="20" t="s">
        <v>40</v>
      </c>
      <c r="AA43" s="2"/>
      <c r="AB43" s="2"/>
      <c r="AC43" s="2"/>
      <c r="AD43" s="2"/>
      <c r="AE43" s="2"/>
      <c r="AF43" s="2"/>
    </row>
    <row r="44" ht="22.5" customHeight="1">
      <c r="A44" s="3">
        <v>46023.445389942135</v>
      </c>
      <c r="B44" s="4" t="s">
        <v>517</v>
      </c>
      <c r="C44" s="4" t="s">
        <v>517</v>
      </c>
      <c r="D44" s="5" t="s">
        <v>518</v>
      </c>
      <c r="E44" s="4" t="str">
        <f t="shared" si="1"/>
        <v>+923431653343</v>
      </c>
      <c r="F44" s="4" t="s">
        <v>519</v>
      </c>
      <c r="G44" s="4" t="s">
        <v>520</v>
      </c>
      <c r="H44" s="8">
        <v>3.310217696964E12</v>
      </c>
      <c r="I44" s="8">
        <v>3.310217696964E12</v>
      </c>
      <c r="J44" s="21" t="str">
        <f>IFERROR(__xludf.DUMMYFUNCTION("TEXT(REGEXREPLACE(I44, ""[^0-9]"", """"), ""00000-0000000-0"")"),"#VALUE!")</f>
        <v>#VALUE!</v>
      </c>
      <c r="K44" s="7">
        <v>37458.0</v>
      </c>
      <c r="L44" s="4" t="s">
        <v>31</v>
      </c>
      <c r="M44" s="4" t="s">
        <v>521</v>
      </c>
      <c r="N44" s="4" t="s">
        <v>48</v>
      </c>
      <c r="O44" s="8">
        <v>2011174.0</v>
      </c>
      <c r="P44" s="8">
        <v>87.0</v>
      </c>
      <c r="Q44" s="9">
        <v>94.1667</v>
      </c>
      <c r="R44" s="4" t="s">
        <v>522</v>
      </c>
      <c r="S44" s="4" t="s">
        <v>50</v>
      </c>
      <c r="T44" s="5" t="s">
        <v>523</v>
      </c>
      <c r="U44" s="25"/>
      <c r="V44" s="25"/>
      <c r="W44" s="25"/>
      <c r="X44" s="25"/>
      <c r="Y44" s="25"/>
      <c r="Z44" s="11" t="s">
        <v>40</v>
      </c>
      <c r="AA44" s="2"/>
      <c r="AB44" s="2"/>
      <c r="AC44" s="2"/>
      <c r="AD44" s="2"/>
      <c r="AE44" s="2"/>
      <c r="AF44" s="2"/>
    </row>
    <row r="45" ht="22.5" customHeight="1">
      <c r="A45" s="12">
        <v>46023.44543369213</v>
      </c>
      <c r="B45" s="13" t="s">
        <v>524</v>
      </c>
      <c r="C45" s="13" t="s">
        <v>525</v>
      </c>
      <c r="D45" s="14" t="s">
        <v>526</v>
      </c>
      <c r="E45" s="13" t="str">
        <f t="shared" si="1"/>
        <v>+923019564081</v>
      </c>
      <c r="F45" s="13" t="s">
        <v>527</v>
      </c>
      <c r="G45" s="13" t="s">
        <v>528</v>
      </c>
      <c r="H45" s="13" t="s">
        <v>529</v>
      </c>
      <c r="I45" s="13" t="s">
        <v>529</v>
      </c>
      <c r="J45" s="15" t="str">
        <f>IFERROR(__xludf.DUMMYFUNCTION("TEXT(REGEXREPLACE(I45, ""[^0-9]"", """"), ""00000-0000000-0"")"),"33102-5977891-8")</f>
        <v>33102-5977891-8</v>
      </c>
      <c r="K45" s="16">
        <v>38657.0</v>
      </c>
      <c r="L45" s="13" t="s">
        <v>31</v>
      </c>
      <c r="M45" s="13" t="s">
        <v>530</v>
      </c>
      <c r="N45" s="13" t="s">
        <v>33</v>
      </c>
      <c r="O45" s="17">
        <v>2010017.0</v>
      </c>
      <c r="P45" s="17">
        <v>8.0</v>
      </c>
      <c r="Q45" s="18">
        <v>95.1458</v>
      </c>
      <c r="R45" s="13" t="s">
        <v>531</v>
      </c>
      <c r="S45" s="13" t="s">
        <v>34</v>
      </c>
      <c r="T45" s="14" t="s">
        <v>532</v>
      </c>
      <c r="U45" s="13" t="s">
        <v>524</v>
      </c>
      <c r="V45" s="19" t="s">
        <v>533</v>
      </c>
      <c r="W45" s="19" t="s">
        <v>534</v>
      </c>
      <c r="X45" s="19" t="s">
        <v>535</v>
      </c>
      <c r="Y45" s="19" t="s">
        <v>536</v>
      </c>
      <c r="Z45" s="20" t="s">
        <v>40</v>
      </c>
      <c r="AA45" s="2"/>
      <c r="AB45" s="2"/>
      <c r="AC45" s="2"/>
      <c r="AD45" s="2"/>
      <c r="AE45" s="2"/>
      <c r="AF45" s="2"/>
    </row>
    <row r="46" ht="22.5" customHeight="1">
      <c r="A46" s="3">
        <v>46023.44556061343</v>
      </c>
      <c r="B46" s="4" t="s">
        <v>537</v>
      </c>
      <c r="C46" s="4" t="s">
        <v>537</v>
      </c>
      <c r="D46" s="5" t="s">
        <v>538</v>
      </c>
      <c r="E46" s="4" t="str">
        <f t="shared" si="1"/>
        <v>+923202468585</v>
      </c>
      <c r="F46" s="4" t="s">
        <v>539</v>
      </c>
      <c r="G46" s="4" t="s">
        <v>540</v>
      </c>
      <c r="H46" s="4" t="s">
        <v>541</v>
      </c>
      <c r="I46" s="4" t="s">
        <v>541</v>
      </c>
      <c r="J46" s="6" t="str">
        <f>IFERROR(__xludf.DUMMYFUNCTION("TEXT(REGEXREPLACE(I46, ""[^0-9]"", """"), ""00000-0000000-0"")"),"33102-5822855-5")</f>
        <v>33102-5822855-5</v>
      </c>
      <c r="K46" s="7">
        <v>38261.0</v>
      </c>
      <c r="L46" s="4" t="s">
        <v>46</v>
      </c>
      <c r="M46" s="4" t="s">
        <v>542</v>
      </c>
      <c r="N46" s="4" t="s">
        <v>93</v>
      </c>
      <c r="O46" s="8">
        <v>2070219.0</v>
      </c>
      <c r="P46" s="8">
        <v>83.0</v>
      </c>
      <c r="Q46" s="9">
        <v>94.1758</v>
      </c>
      <c r="R46" s="4" t="s">
        <v>543</v>
      </c>
      <c r="S46" s="4" t="s">
        <v>34</v>
      </c>
      <c r="T46" s="5" t="s">
        <v>544</v>
      </c>
      <c r="U46" s="4" t="s">
        <v>537</v>
      </c>
      <c r="V46" s="10" t="s">
        <v>545</v>
      </c>
      <c r="W46" s="10" t="s">
        <v>546</v>
      </c>
      <c r="X46" s="10" t="s">
        <v>547</v>
      </c>
      <c r="Y46" s="10" t="s">
        <v>548</v>
      </c>
      <c r="Z46" s="11" t="s">
        <v>40</v>
      </c>
      <c r="AA46" s="2"/>
      <c r="AB46" s="2"/>
      <c r="AC46" s="2"/>
      <c r="AD46" s="2"/>
      <c r="AE46" s="2"/>
      <c r="AF46" s="2"/>
    </row>
    <row r="47" ht="22.5" customHeight="1">
      <c r="A47" s="12">
        <v>46023.44558747685</v>
      </c>
      <c r="B47" s="13" t="s">
        <v>549</v>
      </c>
      <c r="C47" s="13" t="s">
        <v>549</v>
      </c>
      <c r="D47" s="14" t="s">
        <v>550</v>
      </c>
      <c r="E47" s="13" t="str">
        <f t="shared" si="1"/>
        <v>+923137991099</v>
      </c>
      <c r="F47" s="13" t="s">
        <v>551</v>
      </c>
      <c r="G47" s="13" t="s">
        <v>552</v>
      </c>
      <c r="H47" s="13" t="s">
        <v>553</v>
      </c>
      <c r="I47" s="13" t="s">
        <v>553</v>
      </c>
      <c r="J47" s="15" t="str">
        <f>IFERROR(__xludf.DUMMYFUNCTION("TEXT(REGEXREPLACE(I47, ""[^0-9]"", """"), ""00000-0000000-0"")"),"33102-1333226-0")</f>
        <v>33102-1333226-0</v>
      </c>
      <c r="K47" s="16">
        <v>39091.0</v>
      </c>
      <c r="L47" s="13" t="s">
        <v>31</v>
      </c>
      <c r="M47" s="13" t="s">
        <v>554</v>
      </c>
      <c r="N47" s="13" t="s">
        <v>33</v>
      </c>
      <c r="O47" s="17">
        <v>2010156.0</v>
      </c>
      <c r="P47" s="17">
        <v>40.0</v>
      </c>
      <c r="Q47" s="18">
        <v>94.39</v>
      </c>
      <c r="R47" s="13" t="s">
        <v>555</v>
      </c>
      <c r="S47" s="13" t="s">
        <v>34</v>
      </c>
      <c r="T47" s="14" t="s">
        <v>556</v>
      </c>
      <c r="U47" s="13" t="s">
        <v>557</v>
      </c>
      <c r="V47" s="23"/>
      <c r="W47" s="23"/>
      <c r="X47" s="23"/>
      <c r="Y47" s="23"/>
      <c r="Z47" s="20" t="s">
        <v>40</v>
      </c>
      <c r="AA47" s="2"/>
      <c r="AB47" s="2"/>
      <c r="AC47" s="2"/>
      <c r="AD47" s="2"/>
      <c r="AE47" s="2"/>
      <c r="AF47" s="2"/>
    </row>
    <row r="48" ht="22.5" customHeight="1">
      <c r="A48" s="3">
        <v>46023.44571180556</v>
      </c>
      <c r="B48" s="4" t="s">
        <v>558</v>
      </c>
      <c r="C48" s="4" t="s">
        <v>558</v>
      </c>
      <c r="D48" s="5" t="s">
        <v>559</v>
      </c>
      <c r="E48" s="4" t="str">
        <f t="shared" si="1"/>
        <v>+923047874782</v>
      </c>
      <c r="F48" s="4" t="s">
        <v>560</v>
      </c>
      <c r="G48" s="4" t="s">
        <v>561</v>
      </c>
      <c r="H48" s="8">
        <v>3.110133409133E12</v>
      </c>
      <c r="I48" s="8">
        <v>3.110133409133E12</v>
      </c>
      <c r="J48" s="21" t="str">
        <f>IFERROR(__xludf.DUMMYFUNCTION("TEXT(REGEXREPLACE(I48, ""[^0-9]"", """"), ""00000-0000000-0"")"),"#VALUE!")</f>
        <v>#VALUE!</v>
      </c>
      <c r="K48" s="7">
        <v>39418.0</v>
      </c>
      <c r="L48" s="4" t="s">
        <v>46</v>
      </c>
      <c r="M48" s="4" t="s">
        <v>562</v>
      </c>
      <c r="N48" s="4" t="s">
        <v>33</v>
      </c>
      <c r="O48" s="8">
        <v>1161588.0</v>
      </c>
      <c r="P48" s="8">
        <v>252.0</v>
      </c>
      <c r="Q48" s="9">
        <v>93.83</v>
      </c>
      <c r="R48" s="4" t="s">
        <v>561</v>
      </c>
      <c r="S48" s="4" t="s">
        <v>34</v>
      </c>
      <c r="T48" s="5" t="s">
        <v>563</v>
      </c>
      <c r="U48" s="4" t="s">
        <v>564</v>
      </c>
      <c r="V48" s="10" t="s">
        <v>565</v>
      </c>
      <c r="W48" s="10" t="s">
        <v>566</v>
      </c>
      <c r="X48" s="10" t="s">
        <v>567</v>
      </c>
      <c r="Y48" s="10" t="s">
        <v>568</v>
      </c>
      <c r="Z48" s="11" t="s">
        <v>40</v>
      </c>
      <c r="AA48" s="2"/>
      <c r="AB48" s="2"/>
      <c r="AC48" s="2"/>
      <c r="AD48" s="2"/>
      <c r="AE48" s="2"/>
      <c r="AF48" s="2"/>
    </row>
    <row r="49" ht="22.5" customHeight="1">
      <c r="A49" s="12">
        <v>46023.44574304398</v>
      </c>
      <c r="B49" s="13" t="s">
        <v>569</v>
      </c>
      <c r="C49" s="13" t="s">
        <v>570</v>
      </c>
      <c r="D49" s="13" t="s">
        <v>571</v>
      </c>
      <c r="E49" s="13" t="str">
        <f t="shared" si="1"/>
        <v>+923211841580</v>
      </c>
      <c r="F49" s="13" t="s">
        <v>572</v>
      </c>
      <c r="G49" s="13" t="s">
        <v>573</v>
      </c>
      <c r="H49" s="13" t="s">
        <v>574</v>
      </c>
      <c r="I49" s="13" t="s">
        <v>574</v>
      </c>
      <c r="J49" s="15" t="str">
        <f>IFERROR(__xludf.DUMMYFUNCTION("TEXT(REGEXREPLACE(I49, ""[^0-9]"", """"), ""00000-0000000-0"")"),"35202-3458759-1")</f>
        <v>35202-3458759-1</v>
      </c>
      <c r="K49" s="16">
        <v>38959.0</v>
      </c>
      <c r="L49" s="13" t="s">
        <v>46</v>
      </c>
      <c r="M49" s="13" t="s">
        <v>575</v>
      </c>
      <c r="N49" s="13" t="s">
        <v>33</v>
      </c>
      <c r="O49" s="17">
        <v>1072087.0</v>
      </c>
      <c r="P49" s="17">
        <v>202.0</v>
      </c>
      <c r="Q49" s="18">
        <v>93.8985</v>
      </c>
      <c r="R49" s="13" t="s">
        <v>573</v>
      </c>
      <c r="S49" s="13" t="s">
        <v>34</v>
      </c>
      <c r="T49" s="14" t="s">
        <v>576</v>
      </c>
      <c r="U49" s="13" t="s">
        <v>570</v>
      </c>
      <c r="V49" s="19" t="s">
        <v>577</v>
      </c>
      <c r="W49" s="19" t="s">
        <v>578</v>
      </c>
      <c r="X49" s="19" t="s">
        <v>579</v>
      </c>
      <c r="Y49" s="19" t="s">
        <v>580</v>
      </c>
      <c r="Z49" s="20" t="s">
        <v>40</v>
      </c>
      <c r="AA49" s="2"/>
      <c r="AB49" s="2"/>
      <c r="AC49" s="2"/>
      <c r="AD49" s="2"/>
      <c r="AE49" s="2"/>
      <c r="AF49" s="2"/>
    </row>
    <row r="50" ht="22.5" customHeight="1">
      <c r="A50" s="3">
        <v>46023.445932523144</v>
      </c>
      <c r="B50" s="4" t="s">
        <v>581</v>
      </c>
      <c r="C50" s="4" t="s">
        <v>581</v>
      </c>
      <c r="D50" s="5" t="s">
        <v>582</v>
      </c>
      <c r="E50" s="4" t="str">
        <f t="shared" si="1"/>
        <v>+923090091115</v>
      </c>
      <c r="F50" s="4" t="s">
        <v>583</v>
      </c>
      <c r="G50" s="4" t="s">
        <v>584</v>
      </c>
      <c r="H50" s="4" t="s">
        <v>585</v>
      </c>
      <c r="I50" s="4" t="s">
        <v>585</v>
      </c>
      <c r="J50" s="6" t="str">
        <f>IFERROR(__xludf.DUMMYFUNCTION("TEXT(REGEXREPLACE(I50, ""[^0-9]"", """"), ""00000-0000000-0"")"),"36104-0281610-7")</f>
        <v>36104-0281610-7</v>
      </c>
      <c r="K50" s="7">
        <v>37897.0</v>
      </c>
      <c r="L50" s="4" t="s">
        <v>46</v>
      </c>
      <c r="M50" s="4" t="s">
        <v>586</v>
      </c>
      <c r="N50" s="4" t="s">
        <v>48</v>
      </c>
      <c r="O50" s="8">
        <v>8070287.0</v>
      </c>
      <c r="P50" s="8">
        <v>185.0</v>
      </c>
      <c r="Q50" s="9">
        <v>93.9192</v>
      </c>
      <c r="R50" s="4" t="s">
        <v>587</v>
      </c>
      <c r="S50" s="4" t="s">
        <v>34</v>
      </c>
      <c r="T50" s="5" t="s">
        <v>588</v>
      </c>
      <c r="U50" s="4" t="s">
        <v>589</v>
      </c>
      <c r="V50" s="10" t="s">
        <v>590</v>
      </c>
      <c r="W50" s="10" t="s">
        <v>591</v>
      </c>
      <c r="X50" s="10" t="s">
        <v>592</v>
      </c>
      <c r="Y50" s="10" t="s">
        <v>593</v>
      </c>
      <c r="Z50" s="11" t="s">
        <v>40</v>
      </c>
      <c r="AA50" s="2"/>
      <c r="AB50" s="2"/>
      <c r="AC50" s="2"/>
      <c r="AD50" s="2"/>
      <c r="AE50" s="2"/>
      <c r="AF50" s="2"/>
    </row>
    <row r="51" ht="22.5" customHeight="1">
      <c r="A51" s="12">
        <v>46023.44602454861</v>
      </c>
      <c r="B51" s="13" t="s">
        <v>594</v>
      </c>
      <c r="C51" s="13" t="s">
        <v>594</v>
      </c>
      <c r="D51" s="14" t="s">
        <v>595</v>
      </c>
      <c r="E51" s="13" t="str">
        <f t="shared" si="1"/>
        <v>+923217583910</v>
      </c>
      <c r="F51" s="13" t="s">
        <v>596</v>
      </c>
      <c r="G51" s="13" t="s">
        <v>597</v>
      </c>
      <c r="H51" s="17">
        <v>3.310285337968E12</v>
      </c>
      <c r="I51" s="17">
        <v>3.310285337968E12</v>
      </c>
      <c r="J51" s="22" t="str">
        <f>IFERROR(__xludf.DUMMYFUNCTION("TEXT(REGEXREPLACE(I51, ""[^0-9]"", """"), ""00000-0000000-0"")"),"#VALUE!")</f>
        <v>#VALUE!</v>
      </c>
      <c r="K51" s="16">
        <v>39789.0</v>
      </c>
      <c r="L51" s="13" t="s">
        <v>31</v>
      </c>
      <c r="M51" s="13" t="s">
        <v>598</v>
      </c>
      <c r="N51" s="13" t="s">
        <v>33</v>
      </c>
      <c r="O51" s="17">
        <v>2010256.0</v>
      </c>
      <c r="P51" s="17">
        <v>10.0</v>
      </c>
      <c r="Q51" s="18">
        <v>95.11</v>
      </c>
      <c r="R51" s="13" t="s">
        <v>597</v>
      </c>
      <c r="S51" s="13" t="s">
        <v>50</v>
      </c>
      <c r="T51" s="14" t="s">
        <v>599</v>
      </c>
      <c r="U51" s="13" t="s">
        <v>600</v>
      </c>
      <c r="V51" s="19" t="s">
        <v>601</v>
      </c>
      <c r="W51" s="19" t="s">
        <v>602</v>
      </c>
      <c r="X51" s="19" t="s">
        <v>603</v>
      </c>
      <c r="Y51" s="19" t="s">
        <v>604</v>
      </c>
      <c r="Z51" s="20" t="s">
        <v>40</v>
      </c>
      <c r="AA51" s="2"/>
      <c r="AB51" s="2"/>
      <c r="AC51" s="2"/>
      <c r="AD51" s="2"/>
      <c r="AE51" s="2"/>
      <c r="AF51" s="2"/>
    </row>
    <row r="52" ht="22.5" customHeight="1">
      <c r="A52" s="3">
        <v>46023.44641253472</v>
      </c>
      <c r="B52" s="4" t="s">
        <v>605</v>
      </c>
      <c r="C52" s="4" t="s">
        <v>605</v>
      </c>
      <c r="D52" s="5" t="s">
        <v>606</v>
      </c>
      <c r="E52" s="4" t="str">
        <f t="shared" si="1"/>
        <v>+923067489435</v>
      </c>
      <c r="F52" s="4" t="s">
        <v>607</v>
      </c>
      <c r="G52" s="4" t="s">
        <v>608</v>
      </c>
      <c r="H52" s="4" t="s">
        <v>609</v>
      </c>
      <c r="I52" s="4" t="s">
        <v>609</v>
      </c>
      <c r="J52" s="6" t="str">
        <f>IFERROR(__xludf.DUMMYFUNCTION("TEXT(REGEXREPLACE(I52, ""[^0-9]"", """"), ""00000-0000000-0"")"),"36302-1043250-7")</f>
        <v>36302-1043250-7</v>
      </c>
      <c r="K52" s="7">
        <v>39436.0</v>
      </c>
      <c r="L52" s="4" t="s">
        <v>46</v>
      </c>
      <c r="M52" s="4" t="s">
        <v>610</v>
      </c>
      <c r="N52" s="4" t="s">
        <v>33</v>
      </c>
      <c r="O52" s="8">
        <v>9076976.0</v>
      </c>
      <c r="P52" s="8">
        <v>128.0</v>
      </c>
      <c r="Q52" s="9">
        <v>0.940222</v>
      </c>
      <c r="R52" s="4" t="s">
        <v>611</v>
      </c>
      <c r="S52" s="4" t="s">
        <v>34</v>
      </c>
      <c r="T52" s="5" t="s">
        <v>612</v>
      </c>
      <c r="U52" s="4" t="s">
        <v>613</v>
      </c>
      <c r="V52" s="10" t="s">
        <v>614</v>
      </c>
      <c r="W52" s="10" t="s">
        <v>615</v>
      </c>
      <c r="X52" s="10" t="s">
        <v>616</v>
      </c>
      <c r="Y52" s="10" t="s">
        <v>617</v>
      </c>
      <c r="Z52" s="11" t="s">
        <v>40</v>
      </c>
      <c r="AA52" s="2"/>
      <c r="AB52" s="2"/>
      <c r="AC52" s="2"/>
      <c r="AD52" s="2"/>
      <c r="AE52" s="2"/>
      <c r="AF52" s="2"/>
    </row>
    <row r="53" ht="22.5" customHeight="1">
      <c r="A53" s="12">
        <v>46023.44645900463</v>
      </c>
      <c r="B53" s="13" t="s">
        <v>618</v>
      </c>
      <c r="C53" s="13" t="s">
        <v>618</v>
      </c>
      <c r="D53" s="14" t="s">
        <v>619</v>
      </c>
      <c r="E53" s="13" t="str">
        <f t="shared" si="1"/>
        <v>+923083447406</v>
      </c>
      <c r="F53" s="13" t="s">
        <v>620</v>
      </c>
      <c r="G53" s="13" t="s">
        <v>621</v>
      </c>
      <c r="H53" s="17">
        <v>3.310247355968E12</v>
      </c>
      <c r="I53" s="17">
        <v>3.310247355968E12</v>
      </c>
      <c r="J53" s="22" t="str">
        <f>IFERROR(__xludf.DUMMYFUNCTION("TEXT(REGEXREPLACE(I53, ""[^0-9]"", """"), ""00000-0000000-0"")"),"#VALUE!")</f>
        <v>#VALUE!</v>
      </c>
      <c r="K53" s="16">
        <v>38541.0</v>
      </c>
      <c r="L53" s="13" t="s">
        <v>31</v>
      </c>
      <c r="M53" s="13" t="s">
        <v>622</v>
      </c>
      <c r="N53" s="13" t="s">
        <v>33</v>
      </c>
      <c r="O53" s="17">
        <v>2012616.0</v>
      </c>
      <c r="P53" s="17">
        <v>121.0</v>
      </c>
      <c r="Q53" s="18">
        <v>94.04</v>
      </c>
      <c r="R53" s="13" t="s">
        <v>621</v>
      </c>
      <c r="S53" s="13" t="s">
        <v>34</v>
      </c>
      <c r="T53" s="14" t="s">
        <v>623</v>
      </c>
      <c r="U53" s="13" t="s">
        <v>624</v>
      </c>
      <c r="V53" s="19" t="s">
        <v>625</v>
      </c>
      <c r="W53" s="19" t="s">
        <v>626</v>
      </c>
      <c r="X53" s="19" t="s">
        <v>627</v>
      </c>
      <c r="Y53" s="19" t="s">
        <v>628</v>
      </c>
      <c r="Z53" s="20" t="s">
        <v>40</v>
      </c>
      <c r="AA53" s="2"/>
      <c r="AB53" s="2"/>
      <c r="AC53" s="2"/>
      <c r="AD53" s="2"/>
      <c r="AE53" s="2"/>
      <c r="AF53" s="2"/>
    </row>
    <row r="54" ht="22.5" customHeight="1">
      <c r="A54" s="3">
        <v>46023.446576284725</v>
      </c>
      <c r="B54" s="4" t="s">
        <v>629</v>
      </c>
      <c r="C54" s="4" t="s">
        <v>629</v>
      </c>
      <c r="D54" s="5" t="s">
        <v>630</v>
      </c>
      <c r="E54" s="4" t="str">
        <f t="shared" si="1"/>
        <v>+923006969024</v>
      </c>
      <c r="F54" s="4" t="s">
        <v>631</v>
      </c>
      <c r="G54" s="4" t="s">
        <v>632</v>
      </c>
      <c r="H54" s="8">
        <v>3.530224785373E12</v>
      </c>
      <c r="I54" s="8">
        <v>3.530224785373E12</v>
      </c>
      <c r="J54" s="21" t="str">
        <f>IFERROR(__xludf.DUMMYFUNCTION("TEXT(REGEXREPLACE(I54, ""[^0-9]"", """"), ""00000-0000000-0"")"),"#VALUE!")</f>
        <v>#VALUE!</v>
      </c>
      <c r="K54" s="7">
        <v>39270.0</v>
      </c>
      <c r="L54" s="4" t="s">
        <v>46</v>
      </c>
      <c r="M54" s="4" t="s">
        <v>633</v>
      </c>
      <c r="N54" s="4" t="s">
        <v>33</v>
      </c>
      <c r="O54" s="8">
        <v>8070007.0</v>
      </c>
      <c r="P54" s="8">
        <v>183.0</v>
      </c>
      <c r="Q54" s="9">
        <v>93.9212</v>
      </c>
      <c r="R54" s="4" t="s">
        <v>632</v>
      </c>
      <c r="S54" s="4" t="s">
        <v>34</v>
      </c>
      <c r="T54" s="5" t="s">
        <v>634</v>
      </c>
      <c r="U54" s="4" t="s">
        <v>635</v>
      </c>
      <c r="V54" s="10" t="s">
        <v>636</v>
      </c>
      <c r="W54" s="10" t="s">
        <v>637</v>
      </c>
      <c r="X54" s="10" t="s">
        <v>638</v>
      </c>
      <c r="Y54" s="10" t="s">
        <v>639</v>
      </c>
      <c r="Z54" s="11" t="s">
        <v>40</v>
      </c>
      <c r="AA54" s="2"/>
      <c r="AB54" s="2"/>
      <c r="AC54" s="2"/>
      <c r="AD54" s="2"/>
      <c r="AE54" s="2"/>
      <c r="AF54" s="2"/>
    </row>
    <row r="55" ht="22.5" customHeight="1">
      <c r="A55" s="12">
        <v>46023.44659298611</v>
      </c>
      <c r="B55" s="13" t="s">
        <v>640</v>
      </c>
      <c r="C55" s="13" t="s">
        <v>640</v>
      </c>
      <c r="D55" s="14" t="s">
        <v>641</v>
      </c>
      <c r="E55" s="13" t="str">
        <f t="shared" si="1"/>
        <v>+923174498724</v>
      </c>
      <c r="F55" s="13" t="s">
        <v>642</v>
      </c>
      <c r="G55" s="13" t="s">
        <v>643</v>
      </c>
      <c r="H55" s="13" t="s">
        <v>644</v>
      </c>
      <c r="I55" s="13" t="s">
        <v>644</v>
      </c>
      <c r="J55" s="15" t="str">
        <f>IFERROR(__xludf.DUMMYFUNCTION("TEXT(REGEXREPLACE(I55, ""[^0-9]"", """"), ""00000-0000000-0"")"),"34601-5140106-8")</f>
        <v>34601-5140106-8</v>
      </c>
      <c r="K55" s="16">
        <v>39324.0</v>
      </c>
      <c r="L55" s="13" t="s">
        <v>31</v>
      </c>
      <c r="M55" s="13" t="s">
        <v>645</v>
      </c>
      <c r="N55" s="13" t="s">
        <v>48</v>
      </c>
      <c r="O55" s="17">
        <v>2010423.0</v>
      </c>
      <c r="P55" s="17">
        <v>50.0</v>
      </c>
      <c r="Q55" s="18">
        <v>94.35</v>
      </c>
      <c r="R55" s="13" t="s">
        <v>643</v>
      </c>
      <c r="S55" s="13" t="s">
        <v>50</v>
      </c>
      <c r="T55" s="14" t="s">
        <v>646</v>
      </c>
      <c r="U55" s="13" t="s">
        <v>647</v>
      </c>
      <c r="V55" s="19" t="s">
        <v>648</v>
      </c>
      <c r="W55" s="19" t="s">
        <v>649</v>
      </c>
      <c r="X55" s="19" t="s">
        <v>650</v>
      </c>
      <c r="Y55" s="19" t="s">
        <v>651</v>
      </c>
      <c r="Z55" s="20" t="s">
        <v>40</v>
      </c>
      <c r="AA55" s="2"/>
      <c r="AB55" s="2"/>
      <c r="AC55" s="2"/>
      <c r="AD55" s="2"/>
      <c r="AE55" s="2"/>
      <c r="AF55" s="2"/>
    </row>
    <row r="56" ht="22.5" customHeight="1">
      <c r="A56" s="3">
        <v>46023.44677686343</v>
      </c>
      <c r="B56" s="4" t="s">
        <v>652</v>
      </c>
      <c r="C56" s="4" t="s">
        <v>652</v>
      </c>
      <c r="D56" s="5" t="s">
        <v>653</v>
      </c>
      <c r="E56" s="4" t="str">
        <f t="shared" si="1"/>
        <v>+923094805994</v>
      </c>
      <c r="F56" s="4" t="s">
        <v>654</v>
      </c>
      <c r="G56" s="4" t="s">
        <v>655</v>
      </c>
      <c r="H56" s="8">
        <v>3.520201704561E12</v>
      </c>
      <c r="I56" s="8">
        <v>3.520201704561E12</v>
      </c>
      <c r="J56" s="21" t="str">
        <f>IFERROR(__xludf.DUMMYFUNCTION("TEXT(REGEXREPLACE(I56, ""[^0-9]"", """"), ""00000-0000000-0"")"),"#VALUE!")</f>
        <v>#VALUE!</v>
      </c>
      <c r="K56" s="7">
        <v>38311.0</v>
      </c>
      <c r="L56" s="4" t="s">
        <v>46</v>
      </c>
      <c r="M56" s="4" t="s">
        <v>656</v>
      </c>
      <c r="N56" s="4" t="s">
        <v>33</v>
      </c>
      <c r="O56" s="8">
        <v>107150.0</v>
      </c>
      <c r="P56" s="8">
        <v>89.0</v>
      </c>
      <c r="Q56" s="9">
        <v>94.1632</v>
      </c>
      <c r="R56" s="4" t="s">
        <v>655</v>
      </c>
      <c r="S56" s="4" t="s">
        <v>34</v>
      </c>
      <c r="T56" s="5" t="s">
        <v>657</v>
      </c>
      <c r="U56" s="4" t="s">
        <v>658</v>
      </c>
      <c r="V56" s="10" t="s">
        <v>659</v>
      </c>
      <c r="W56" s="10" t="s">
        <v>660</v>
      </c>
      <c r="X56" s="10" t="s">
        <v>661</v>
      </c>
      <c r="Y56" s="10" t="s">
        <v>662</v>
      </c>
      <c r="Z56" s="11" t="s">
        <v>40</v>
      </c>
      <c r="AA56" s="2"/>
      <c r="AB56" s="2"/>
      <c r="AC56" s="2"/>
      <c r="AD56" s="2"/>
      <c r="AE56" s="2"/>
      <c r="AF56" s="2"/>
    </row>
    <row r="57" ht="22.5" customHeight="1">
      <c r="A57" s="12">
        <v>46023.44686271991</v>
      </c>
      <c r="B57" s="13" t="s">
        <v>663</v>
      </c>
      <c r="C57" s="13" t="s">
        <v>663</v>
      </c>
      <c r="D57" s="14" t="s">
        <v>664</v>
      </c>
      <c r="E57" s="13" t="str">
        <f t="shared" si="1"/>
        <v>+923187103344</v>
      </c>
      <c r="F57" s="13" t="s">
        <v>665</v>
      </c>
      <c r="G57" s="13" t="s">
        <v>666</v>
      </c>
      <c r="H57" s="17">
        <v>3.310248006572E12</v>
      </c>
      <c r="I57" s="17">
        <v>3.310248006572E12</v>
      </c>
      <c r="J57" s="22" t="str">
        <f>IFERROR(__xludf.DUMMYFUNCTION("TEXT(REGEXREPLACE(I57, ""[^0-9]"", """"), ""00000-0000000-0"")"),"#VALUE!")</f>
        <v>#VALUE!</v>
      </c>
      <c r="K57" s="16">
        <v>37208.0</v>
      </c>
      <c r="L57" s="13" t="s">
        <v>31</v>
      </c>
      <c r="M57" s="13" t="s">
        <v>667</v>
      </c>
      <c r="N57" s="13" t="s">
        <v>33</v>
      </c>
      <c r="O57" s="17">
        <v>2014009.0</v>
      </c>
      <c r="P57" s="17">
        <v>152.0</v>
      </c>
      <c r="Q57" s="18">
        <v>93.9773</v>
      </c>
      <c r="R57" s="13" t="s">
        <v>668</v>
      </c>
      <c r="S57" s="13" t="s">
        <v>95</v>
      </c>
      <c r="T57" s="14" t="s">
        <v>669</v>
      </c>
      <c r="U57" s="23"/>
      <c r="V57" s="23"/>
      <c r="W57" s="23"/>
      <c r="X57" s="23"/>
      <c r="Y57" s="23"/>
      <c r="Z57" s="20" t="s">
        <v>40</v>
      </c>
      <c r="AA57" s="2"/>
      <c r="AB57" s="2"/>
      <c r="AC57" s="2"/>
      <c r="AD57" s="2"/>
      <c r="AE57" s="2"/>
      <c r="AF57" s="2"/>
    </row>
    <row r="58" ht="22.5" customHeight="1">
      <c r="A58" s="3">
        <v>46023.446968495366</v>
      </c>
      <c r="B58" s="4" t="s">
        <v>670</v>
      </c>
      <c r="C58" s="4" t="s">
        <v>671</v>
      </c>
      <c r="D58" s="5" t="s">
        <v>672</v>
      </c>
      <c r="E58" s="4" t="str">
        <f t="shared" si="1"/>
        <v>+923259965277</v>
      </c>
      <c r="F58" s="4" t="s">
        <v>673</v>
      </c>
      <c r="G58" s="4" t="s">
        <v>674</v>
      </c>
      <c r="H58" s="8">
        <v>3.520163685873E12</v>
      </c>
      <c r="I58" s="8">
        <v>3.520163685873E12</v>
      </c>
      <c r="J58" s="21" t="str">
        <f>IFERROR(__xludf.DUMMYFUNCTION("TEXT(REGEXREPLACE(I58, ""[^0-9]"", """"), ""00000-0000000-0"")"),"#VALUE!")</f>
        <v>#VALUE!</v>
      </c>
      <c r="K58" s="7">
        <v>46023.0</v>
      </c>
      <c r="L58" s="4" t="s">
        <v>46</v>
      </c>
      <c r="M58" s="4" t="s">
        <v>675</v>
      </c>
      <c r="N58" s="4" t="s">
        <v>93</v>
      </c>
      <c r="O58" s="8">
        <v>1071046.0</v>
      </c>
      <c r="P58" s="8">
        <v>195.0</v>
      </c>
      <c r="Q58" s="9">
        <v>93.906</v>
      </c>
      <c r="R58" s="4" t="s">
        <v>676</v>
      </c>
      <c r="S58" s="4" t="s">
        <v>95</v>
      </c>
      <c r="T58" s="5" t="s">
        <v>677</v>
      </c>
      <c r="U58" s="4" t="s">
        <v>678</v>
      </c>
      <c r="V58" s="10" t="s">
        <v>679</v>
      </c>
      <c r="W58" s="10" t="s">
        <v>680</v>
      </c>
      <c r="X58" s="10" t="s">
        <v>681</v>
      </c>
      <c r="Y58" s="10" t="s">
        <v>682</v>
      </c>
      <c r="Z58" s="11" t="s">
        <v>40</v>
      </c>
      <c r="AA58" s="2"/>
      <c r="AB58" s="2"/>
      <c r="AC58" s="2"/>
      <c r="AD58" s="2"/>
      <c r="AE58" s="2"/>
      <c r="AF58" s="2"/>
    </row>
    <row r="59" ht="22.5" customHeight="1">
      <c r="A59" s="12">
        <v>46023.44707663194</v>
      </c>
      <c r="B59" s="13" t="s">
        <v>683</v>
      </c>
      <c r="C59" s="13" t="s">
        <v>684</v>
      </c>
      <c r="D59" s="13" t="s">
        <v>685</v>
      </c>
      <c r="E59" s="24" t="str">
        <f t="shared" si="1"/>
        <v>+92320-8329532</v>
      </c>
      <c r="F59" s="13" t="s">
        <v>686</v>
      </c>
      <c r="G59" s="13" t="s">
        <v>687</v>
      </c>
      <c r="H59" s="13" t="s">
        <v>688</v>
      </c>
      <c r="I59" s="13" t="s">
        <v>688</v>
      </c>
      <c r="J59" s="15" t="str">
        <f>IFERROR(__xludf.DUMMYFUNCTION("TEXT(REGEXREPLACE(I59, ""[^0-9]"", """"), ""00000-0000000-0"")"),"33100-3181871-4")</f>
        <v>33100-3181871-4</v>
      </c>
      <c r="K59" s="16">
        <v>38367.0</v>
      </c>
      <c r="L59" s="13" t="s">
        <v>31</v>
      </c>
      <c r="M59" s="13" t="s">
        <v>689</v>
      </c>
      <c r="N59" s="13" t="s">
        <v>33</v>
      </c>
      <c r="O59" s="17">
        <v>2014464.0</v>
      </c>
      <c r="P59" s="17">
        <v>141.0</v>
      </c>
      <c r="Q59" s="18">
        <v>0.925</v>
      </c>
      <c r="R59" s="13" t="s">
        <v>29</v>
      </c>
      <c r="S59" s="13" t="s">
        <v>690</v>
      </c>
      <c r="T59" s="14" t="s">
        <v>691</v>
      </c>
      <c r="U59" s="13" t="s">
        <v>692</v>
      </c>
      <c r="V59" s="19" t="s">
        <v>693</v>
      </c>
      <c r="W59" s="19" t="s">
        <v>694</v>
      </c>
      <c r="X59" s="19" t="s">
        <v>695</v>
      </c>
      <c r="Y59" s="19" t="s">
        <v>696</v>
      </c>
      <c r="Z59" s="20" t="s">
        <v>40</v>
      </c>
      <c r="AA59" s="2"/>
      <c r="AB59" s="2"/>
      <c r="AC59" s="2"/>
      <c r="AD59" s="2"/>
      <c r="AE59" s="2"/>
      <c r="AF59" s="2"/>
    </row>
    <row r="60" ht="22.5" customHeight="1">
      <c r="A60" s="3">
        <v>46023.44714207176</v>
      </c>
      <c r="B60" s="4" t="s">
        <v>697</v>
      </c>
      <c r="C60" s="4" t="s">
        <v>697</v>
      </c>
      <c r="D60" s="5" t="s">
        <v>698</v>
      </c>
      <c r="E60" s="4" t="str">
        <f t="shared" si="1"/>
        <v>+923256999297</v>
      </c>
      <c r="F60" s="4" t="s">
        <v>299</v>
      </c>
      <c r="G60" s="4" t="s">
        <v>699</v>
      </c>
      <c r="H60" s="4" t="s">
        <v>700</v>
      </c>
      <c r="I60" s="4" t="s">
        <v>700</v>
      </c>
      <c r="J60" s="6" t="str">
        <f>IFERROR(__xludf.DUMMYFUNCTION("TEXT(REGEXREPLACE(I60, ""[^0-9]"", """"), ""00000-0000000-0"")"),"36601-5389288-1")</f>
        <v>36601-5389288-1</v>
      </c>
      <c r="K60" s="7">
        <v>38952.0</v>
      </c>
      <c r="L60" s="4" t="s">
        <v>46</v>
      </c>
      <c r="M60" s="4" t="s">
        <v>701</v>
      </c>
      <c r="N60" s="4" t="s">
        <v>33</v>
      </c>
      <c r="O60" s="8">
        <v>8070124.0</v>
      </c>
      <c r="P60" s="8">
        <v>228.0</v>
      </c>
      <c r="Q60" s="9">
        <v>93.8682</v>
      </c>
      <c r="R60" s="4" t="s">
        <v>699</v>
      </c>
      <c r="S60" s="4" t="s">
        <v>34</v>
      </c>
      <c r="T60" s="5" t="s">
        <v>702</v>
      </c>
      <c r="U60" s="4" t="s">
        <v>703</v>
      </c>
      <c r="V60" s="10" t="s">
        <v>704</v>
      </c>
      <c r="W60" s="10" t="s">
        <v>705</v>
      </c>
      <c r="X60" s="25"/>
      <c r="Y60" s="25"/>
      <c r="Z60" s="11" t="s">
        <v>40</v>
      </c>
      <c r="AA60" s="2"/>
      <c r="AB60" s="2"/>
      <c r="AC60" s="2"/>
      <c r="AD60" s="2"/>
      <c r="AE60" s="2"/>
      <c r="AF60" s="2"/>
    </row>
    <row r="61" ht="22.5" customHeight="1">
      <c r="A61" s="12">
        <v>46023.44718326389</v>
      </c>
      <c r="B61" s="13" t="s">
        <v>706</v>
      </c>
      <c r="C61" s="13" t="s">
        <v>706</v>
      </c>
      <c r="D61" s="14" t="s">
        <v>707</v>
      </c>
      <c r="E61" s="13" t="str">
        <f t="shared" si="1"/>
        <v>+923706539616</v>
      </c>
      <c r="F61" s="13" t="s">
        <v>708</v>
      </c>
      <c r="G61" s="13" t="s">
        <v>709</v>
      </c>
      <c r="H61" s="13" t="s">
        <v>710</v>
      </c>
      <c r="I61" s="13" t="s">
        <v>710</v>
      </c>
      <c r="J61" s="15" t="str">
        <f>IFERROR(__xludf.DUMMYFUNCTION("TEXT(REGEXREPLACE(I61, ""[^0-9]"", """"), ""00000-0000000-0"")"),"36601-0289169-7")</f>
        <v>36601-0289169-7</v>
      </c>
      <c r="K61" s="16">
        <v>38474.0</v>
      </c>
      <c r="L61" s="13" t="s">
        <v>46</v>
      </c>
      <c r="M61" s="13" t="s">
        <v>711</v>
      </c>
      <c r="N61" s="13" t="s">
        <v>33</v>
      </c>
      <c r="O61" s="17">
        <v>8070205.0</v>
      </c>
      <c r="P61" s="17">
        <v>211.0</v>
      </c>
      <c r="Q61" s="18">
        <v>0.93333</v>
      </c>
      <c r="R61" s="13" t="s">
        <v>709</v>
      </c>
      <c r="S61" s="13" t="s">
        <v>50</v>
      </c>
      <c r="T61" s="14" t="s">
        <v>712</v>
      </c>
      <c r="U61" s="13" t="s">
        <v>713</v>
      </c>
      <c r="V61" s="19" t="s">
        <v>714</v>
      </c>
      <c r="W61" s="19" t="s">
        <v>715</v>
      </c>
      <c r="X61" s="19" t="s">
        <v>716</v>
      </c>
      <c r="Y61" s="19" t="s">
        <v>717</v>
      </c>
      <c r="Z61" s="20" t="s">
        <v>40</v>
      </c>
      <c r="AA61" s="2"/>
      <c r="AB61" s="2"/>
      <c r="AC61" s="2"/>
      <c r="AD61" s="2"/>
      <c r="AE61" s="2"/>
      <c r="AF61" s="2"/>
    </row>
    <row r="62" ht="22.5" customHeight="1">
      <c r="A62" s="3">
        <v>46023.44762707176</v>
      </c>
      <c r="B62" s="4" t="s">
        <v>718</v>
      </c>
      <c r="C62" s="4" t="s">
        <v>718</v>
      </c>
      <c r="D62" s="5" t="s">
        <v>719</v>
      </c>
      <c r="E62" s="4" t="str">
        <f t="shared" si="1"/>
        <v>+923301267214</v>
      </c>
      <c r="F62" s="4" t="s">
        <v>720</v>
      </c>
      <c r="G62" s="4" t="s">
        <v>721</v>
      </c>
      <c r="H62" s="4" t="s">
        <v>722</v>
      </c>
      <c r="I62" s="4" t="s">
        <v>722</v>
      </c>
      <c r="J62" s="6" t="str">
        <f>IFERROR(__xludf.DUMMYFUNCTION("TEXT(REGEXREPLACE(I62, ""[^0-9]"", """"), ""00000-0000000-0"")"),"38102-6578256-2")</f>
        <v>38102-6578256-2</v>
      </c>
      <c r="K62" s="7">
        <v>45864.0</v>
      </c>
      <c r="L62" s="4" t="s">
        <v>31</v>
      </c>
      <c r="M62" s="4" t="s">
        <v>723</v>
      </c>
      <c r="N62" s="4" t="s">
        <v>33</v>
      </c>
      <c r="O62" s="8">
        <v>2011403.0</v>
      </c>
      <c r="P62" s="8">
        <v>278.0</v>
      </c>
      <c r="Q62" s="9">
        <v>93.7227</v>
      </c>
      <c r="R62" s="4" t="s">
        <v>721</v>
      </c>
      <c r="S62" s="4" t="s">
        <v>34</v>
      </c>
      <c r="T62" s="5" t="s">
        <v>724</v>
      </c>
      <c r="U62" s="4" t="s">
        <v>725</v>
      </c>
      <c r="V62" s="10" t="s">
        <v>726</v>
      </c>
      <c r="W62" s="10" t="s">
        <v>727</v>
      </c>
      <c r="X62" s="10" t="s">
        <v>728</v>
      </c>
      <c r="Y62" s="10" t="s">
        <v>729</v>
      </c>
      <c r="Z62" s="11" t="s">
        <v>40</v>
      </c>
      <c r="AA62" s="2"/>
      <c r="AB62" s="2"/>
      <c r="AC62" s="2"/>
      <c r="AD62" s="2"/>
      <c r="AE62" s="2"/>
      <c r="AF62" s="2"/>
    </row>
    <row r="63" ht="22.5" customHeight="1">
      <c r="A63" s="12">
        <v>46023.448122002315</v>
      </c>
      <c r="B63" s="13" t="s">
        <v>730</v>
      </c>
      <c r="C63" s="13" t="s">
        <v>730</v>
      </c>
      <c r="D63" s="14" t="s">
        <v>731</v>
      </c>
      <c r="E63" s="13" t="str">
        <f t="shared" si="1"/>
        <v>+923289084272</v>
      </c>
      <c r="F63" s="13" t="s">
        <v>732</v>
      </c>
      <c r="G63" s="13" t="s">
        <v>733</v>
      </c>
      <c r="H63" s="13" t="s">
        <v>734</v>
      </c>
      <c r="I63" s="13" t="s">
        <v>734</v>
      </c>
      <c r="J63" s="15" t="str">
        <f>IFERROR(__xludf.DUMMYFUNCTION("TEXT(REGEXREPLACE(I63, ""[^0-9]"", """"), ""00000-0000000-0"")"),"33102-1912948-8")</f>
        <v>33102-1912948-8</v>
      </c>
      <c r="K63" s="16">
        <v>39378.0</v>
      </c>
      <c r="L63" s="13" t="s">
        <v>31</v>
      </c>
      <c r="M63" s="13" t="s">
        <v>735</v>
      </c>
      <c r="N63" s="13" t="s">
        <v>33</v>
      </c>
      <c r="O63" s="17">
        <v>2011623.0</v>
      </c>
      <c r="P63" s="17">
        <v>27.0</v>
      </c>
      <c r="Q63" s="18">
        <v>94.5545</v>
      </c>
      <c r="R63" s="13" t="s">
        <v>733</v>
      </c>
      <c r="S63" s="13" t="s">
        <v>34</v>
      </c>
      <c r="T63" s="14" t="s">
        <v>736</v>
      </c>
      <c r="U63" s="13" t="s">
        <v>737</v>
      </c>
      <c r="V63" s="19" t="s">
        <v>738</v>
      </c>
      <c r="W63" s="19" t="s">
        <v>739</v>
      </c>
      <c r="X63" s="19" t="s">
        <v>740</v>
      </c>
      <c r="Y63" s="19" t="s">
        <v>741</v>
      </c>
      <c r="Z63" s="20" t="s">
        <v>40</v>
      </c>
      <c r="AA63" s="2"/>
      <c r="AB63" s="2"/>
      <c r="AC63" s="2"/>
      <c r="AD63" s="2"/>
      <c r="AE63" s="2"/>
      <c r="AF63" s="2"/>
    </row>
    <row r="64" ht="22.5" customHeight="1">
      <c r="A64" s="3">
        <v>46023.44864381944</v>
      </c>
      <c r="B64" s="4" t="s">
        <v>742</v>
      </c>
      <c r="C64" s="4" t="s">
        <v>742</v>
      </c>
      <c r="D64" s="5" t="s">
        <v>743</v>
      </c>
      <c r="E64" s="4" t="str">
        <f t="shared" si="1"/>
        <v>+923710604728</v>
      </c>
      <c r="F64" s="4" t="s">
        <v>744</v>
      </c>
      <c r="G64" s="4" t="s">
        <v>745</v>
      </c>
      <c r="H64" s="8">
        <v>3.330348651259E12</v>
      </c>
      <c r="I64" s="8">
        <v>3.330348651259E12</v>
      </c>
      <c r="J64" s="21" t="str">
        <f>IFERROR(__xludf.DUMMYFUNCTION("TEXT(REGEXREPLACE(I64, ""[^0-9]"", """"), ""00000-0000000-0"")"),"#VALUE!")</f>
        <v>#VALUE!</v>
      </c>
      <c r="K64" s="7">
        <v>39415.0</v>
      </c>
      <c r="L64" s="4" t="s">
        <v>46</v>
      </c>
      <c r="M64" s="4" t="s">
        <v>746</v>
      </c>
      <c r="N64" s="4" t="s">
        <v>33</v>
      </c>
      <c r="O64" s="8">
        <v>2090672.0</v>
      </c>
      <c r="P64" s="8">
        <v>67.0</v>
      </c>
      <c r="Q64" s="9">
        <v>94.26</v>
      </c>
      <c r="R64" s="4" t="s">
        <v>745</v>
      </c>
      <c r="S64" s="4" t="s">
        <v>34</v>
      </c>
      <c r="T64" s="5" t="s">
        <v>747</v>
      </c>
      <c r="U64" s="4" t="s">
        <v>748</v>
      </c>
      <c r="V64" s="10" t="s">
        <v>749</v>
      </c>
      <c r="W64" s="10" t="s">
        <v>750</v>
      </c>
      <c r="X64" s="10" t="s">
        <v>751</v>
      </c>
      <c r="Y64" s="10" t="s">
        <v>752</v>
      </c>
      <c r="Z64" s="11" t="s">
        <v>40</v>
      </c>
      <c r="AA64" s="2"/>
      <c r="AB64" s="2"/>
      <c r="AC64" s="2"/>
      <c r="AD64" s="2"/>
      <c r="AE64" s="2"/>
      <c r="AF64" s="2"/>
    </row>
    <row r="65" ht="22.5" customHeight="1">
      <c r="A65" s="12">
        <v>46023.44930277778</v>
      </c>
      <c r="B65" s="13" t="s">
        <v>753</v>
      </c>
      <c r="C65" s="13" t="s">
        <v>753</v>
      </c>
      <c r="D65" s="14" t="s">
        <v>754</v>
      </c>
      <c r="E65" s="13" t="str">
        <f t="shared" si="1"/>
        <v>+923238682632</v>
      </c>
      <c r="F65" s="13" t="s">
        <v>755</v>
      </c>
      <c r="G65" s="13" t="s">
        <v>756</v>
      </c>
      <c r="H65" s="17">
        <v>3.840174141877E12</v>
      </c>
      <c r="I65" s="17">
        <v>3.840174141877E12</v>
      </c>
      <c r="J65" s="22" t="str">
        <f>IFERROR(__xludf.DUMMYFUNCTION("TEXT(REGEXREPLACE(I65, ""[^0-9]"", """"), ""00000-0000000-0"")"),"#VALUE!")</f>
        <v>#VALUE!</v>
      </c>
      <c r="K65" s="16">
        <v>39446.0</v>
      </c>
      <c r="L65" s="13" t="s">
        <v>46</v>
      </c>
      <c r="M65" s="13" t="s">
        <v>757</v>
      </c>
      <c r="N65" s="13" t="s">
        <v>48</v>
      </c>
      <c r="O65" s="17">
        <v>3087377.0</v>
      </c>
      <c r="P65" s="17">
        <v>134.0</v>
      </c>
      <c r="Q65" s="18">
        <v>94.0</v>
      </c>
      <c r="R65" s="13" t="s">
        <v>756</v>
      </c>
      <c r="S65" s="13" t="s">
        <v>34</v>
      </c>
      <c r="T65" s="14" t="s">
        <v>758</v>
      </c>
      <c r="U65" s="13" t="s">
        <v>759</v>
      </c>
      <c r="V65" s="19" t="s">
        <v>760</v>
      </c>
      <c r="W65" s="19" t="s">
        <v>761</v>
      </c>
      <c r="X65" s="19" t="s">
        <v>762</v>
      </c>
      <c r="Y65" s="19" t="s">
        <v>763</v>
      </c>
      <c r="Z65" s="20" t="s">
        <v>40</v>
      </c>
      <c r="AA65" s="2"/>
      <c r="AB65" s="2"/>
      <c r="AC65" s="2"/>
      <c r="AD65" s="2"/>
      <c r="AE65" s="2"/>
      <c r="AF65" s="2"/>
    </row>
    <row r="66" ht="22.5" customHeight="1">
      <c r="A66" s="3">
        <v>46023.45013046297</v>
      </c>
      <c r="B66" s="4" t="s">
        <v>764</v>
      </c>
      <c r="C66" s="4" t="s">
        <v>765</v>
      </c>
      <c r="D66" s="5" t="s">
        <v>766</v>
      </c>
      <c r="E66" s="4" t="str">
        <f t="shared" si="1"/>
        <v>+923270669738</v>
      </c>
      <c r="F66" s="4" t="s">
        <v>767</v>
      </c>
      <c r="G66" s="4" t="s">
        <v>768</v>
      </c>
      <c r="H66" s="4" t="s">
        <v>769</v>
      </c>
      <c r="I66" s="4" t="s">
        <v>769</v>
      </c>
      <c r="J66" s="6" t="str">
        <f>IFERROR(__xludf.DUMMYFUNCTION("TEXT(REGEXREPLACE(I66, ""[^0-9]"", """"), ""00000-0000000-0"")"),"33100-1397416-2")</f>
        <v>33100-1397416-2</v>
      </c>
      <c r="K66" s="7">
        <v>39388.0</v>
      </c>
      <c r="L66" s="4" t="s">
        <v>31</v>
      </c>
      <c r="M66" s="4" t="s">
        <v>770</v>
      </c>
      <c r="N66" s="4" t="s">
        <v>33</v>
      </c>
      <c r="O66" s="8">
        <v>2010800.0</v>
      </c>
      <c r="P66" s="8">
        <v>26.0</v>
      </c>
      <c r="Q66" s="9">
        <v>94.57</v>
      </c>
      <c r="R66" s="4" t="s">
        <v>768</v>
      </c>
      <c r="S66" s="4" t="s">
        <v>34</v>
      </c>
      <c r="T66" s="5" t="s">
        <v>771</v>
      </c>
      <c r="U66" s="4" t="s">
        <v>772</v>
      </c>
      <c r="V66" s="25"/>
      <c r="W66" s="25"/>
      <c r="X66" s="25"/>
      <c r="Y66" s="25"/>
      <c r="Z66" s="11" t="s">
        <v>40</v>
      </c>
      <c r="AA66" s="2"/>
      <c r="AB66" s="2"/>
      <c r="AC66" s="2"/>
      <c r="AD66" s="2"/>
      <c r="AE66" s="2"/>
      <c r="AF66" s="2"/>
    </row>
    <row r="67" ht="22.5" customHeight="1">
      <c r="A67" s="12">
        <v>46023.45081028935</v>
      </c>
      <c r="B67" s="13" t="s">
        <v>773</v>
      </c>
      <c r="C67" s="13" t="s">
        <v>773</v>
      </c>
      <c r="D67" s="14" t="s">
        <v>774</v>
      </c>
      <c r="E67" s="13" t="str">
        <f t="shared" si="1"/>
        <v>+923477987099</v>
      </c>
      <c r="F67" s="13" t="s">
        <v>775</v>
      </c>
      <c r="G67" s="13" t="s">
        <v>776</v>
      </c>
      <c r="H67" s="17">
        <v>3.640192586246E12</v>
      </c>
      <c r="I67" s="17">
        <v>3.640192586246E12</v>
      </c>
      <c r="J67" s="22" t="str">
        <f>IFERROR(__xludf.DUMMYFUNCTION("TEXT(REGEXREPLACE(I67, ""[^0-9]"", """"), ""00000-0000000-0"")"),"#VALUE!")</f>
        <v>#VALUE!</v>
      </c>
      <c r="K67" s="16">
        <v>38791.0</v>
      </c>
      <c r="L67" s="13" t="s">
        <v>31</v>
      </c>
      <c r="M67" s="13" t="s">
        <v>777</v>
      </c>
      <c r="N67" s="13" t="s">
        <v>48</v>
      </c>
      <c r="O67" s="17">
        <v>8011323.0</v>
      </c>
      <c r="P67" s="17">
        <v>197.0</v>
      </c>
      <c r="Q67" s="18">
        <v>93.9045</v>
      </c>
      <c r="R67" s="13" t="s">
        <v>776</v>
      </c>
      <c r="S67" s="13" t="s">
        <v>778</v>
      </c>
      <c r="T67" s="14" t="s">
        <v>779</v>
      </c>
      <c r="U67" s="13" t="s">
        <v>780</v>
      </c>
      <c r="V67" s="19" t="s">
        <v>781</v>
      </c>
      <c r="W67" s="19" t="s">
        <v>782</v>
      </c>
      <c r="X67" s="19" t="s">
        <v>783</v>
      </c>
      <c r="Y67" s="19" t="s">
        <v>784</v>
      </c>
      <c r="Z67" s="20" t="s">
        <v>40</v>
      </c>
      <c r="AA67" s="2"/>
      <c r="AB67" s="2"/>
      <c r="AC67" s="2"/>
      <c r="AD67" s="2"/>
      <c r="AE67" s="2"/>
      <c r="AF67" s="2"/>
    </row>
    <row r="68" ht="22.5" customHeight="1">
      <c r="A68" s="3">
        <v>46023.451324062495</v>
      </c>
      <c r="B68" s="4" t="s">
        <v>785</v>
      </c>
      <c r="C68" s="4" t="s">
        <v>786</v>
      </c>
      <c r="D68" s="5" t="s">
        <v>787</v>
      </c>
      <c r="E68" s="4" t="str">
        <f t="shared" si="1"/>
        <v>+923174047701</v>
      </c>
      <c r="F68" s="4" t="s">
        <v>788</v>
      </c>
      <c r="G68" s="4" t="s">
        <v>789</v>
      </c>
      <c r="H68" s="8">
        <v>3.230419306885E12</v>
      </c>
      <c r="I68" s="8">
        <v>3.230419306885E12</v>
      </c>
      <c r="J68" s="21" t="str">
        <f>IFERROR(__xludf.DUMMYFUNCTION("TEXT(REGEXREPLACE(I68, ""[^0-9]"", """"), ""00000-0000000-0"")"),"#VALUE!")</f>
        <v>#VALUE!</v>
      </c>
      <c r="K68" s="7">
        <v>39187.0</v>
      </c>
      <c r="L68" s="4" t="s">
        <v>46</v>
      </c>
      <c r="M68" s="4" t="s">
        <v>790</v>
      </c>
      <c r="N68" s="4" t="s">
        <v>33</v>
      </c>
      <c r="O68" s="8">
        <v>9072766.0</v>
      </c>
      <c r="P68" s="8">
        <v>286.0</v>
      </c>
      <c r="Q68" s="9">
        <v>90.34</v>
      </c>
      <c r="R68" s="4" t="s">
        <v>789</v>
      </c>
      <c r="S68" s="4" t="s">
        <v>95</v>
      </c>
      <c r="T68" s="5" t="s">
        <v>791</v>
      </c>
      <c r="U68" s="4" t="s">
        <v>792</v>
      </c>
      <c r="V68" s="10" t="s">
        <v>793</v>
      </c>
      <c r="W68" s="10" t="s">
        <v>794</v>
      </c>
      <c r="X68" s="10" t="s">
        <v>795</v>
      </c>
      <c r="Y68" s="10" t="s">
        <v>796</v>
      </c>
      <c r="Z68" s="11" t="s">
        <v>40</v>
      </c>
      <c r="AA68" s="2"/>
      <c r="AB68" s="2"/>
      <c r="AC68" s="2"/>
      <c r="AD68" s="2"/>
      <c r="AE68" s="2"/>
      <c r="AF68" s="2"/>
    </row>
    <row r="69" ht="22.5" customHeight="1">
      <c r="A69" s="12">
        <v>46023.45168115741</v>
      </c>
      <c r="B69" s="13" t="s">
        <v>797</v>
      </c>
      <c r="C69" s="13" t="s">
        <v>797</v>
      </c>
      <c r="D69" s="14" t="s">
        <v>798</v>
      </c>
      <c r="E69" s="13" t="str">
        <f t="shared" si="1"/>
        <v>+923356626330</v>
      </c>
      <c r="F69" s="13" t="s">
        <v>799</v>
      </c>
      <c r="G69" s="13" t="s">
        <v>800</v>
      </c>
      <c r="H69" s="13" t="s">
        <v>801</v>
      </c>
      <c r="I69" s="13" t="s">
        <v>801</v>
      </c>
      <c r="J69" s="15" t="str">
        <f>IFERROR(__xludf.DUMMYFUNCTION("TEXT(REGEXREPLACE(I69, ""[^0-9]"", """"), ""00000-0000000-0"")"),"33100-1210927-6")</f>
        <v>33100-1210927-6</v>
      </c>
      <c r="K69" s="16">
        <v>39066.0</v>
      </c>
      <c r="L69" s="13" t="s">
        <v>31</v>
      </c>
      <c r="M69" s="13" t="s">
        <v>802</v>
      </c>
      <c r="N69" s="13" t="s">
        <v>33</v>
      </c>
      <c r="O69" s="17">
        <v>2011897.0</v>
      </c>
      <c r="P69" s="17">
        <v>213.0</v>
      </c>
      <c r="Q69" s="18">
        <v>92.5</v>
      </c>
      <c r="R69" s="13" t="s">
        <v>800</v>
      </c>
      <c r="S69" s="13" t="s">
        <v>50</v>
      </c>
      <c r="T69" s="14" t="s">
        <v>803</v>
      </c>
      <c r="U69" s="13" t="s">
        <v>804</v>
      </c>
      <c r="V69" s="19" t="s">
        <v>805</v>
      </c>
      <c r="W69" s="19" t="s">
        <v>806</v>
      </c>
      <c r="X69" s="19" t="s">
        <v>807</v>
      </c>
      <c r="Y69" s="19" t="s">
        <v>808</v>
      </c>
      <c r="Z69" s="20" t="s">
        <v>40</v>
      </c>
      <c r="AA69" s="2"/>
      <c r="AB69" s="2"/>
      <c r="AC69" s="2"/>
      <c r="AD69" s="2"/>
      <c r="AE69" s="2"/>
      <c r="AF69" s="2"/>
    </row>
    <row r="70" ht="22.5" customHeight="1">
      <c r="A70" s="3">
        <v>46023.45278082176</v>
      </c>
      <c r="B70" s="4" t="s">
        <v>809</v>
      </c>
      <c r="C70" s="4" t="s">
        <v>809</v>
      </c>
      <c r="D70" s="5" t="s">
        <v>810</v>
      </c>
      <c r="E70" s="4" t="str">
        <f t="shared" si="1"/>
        <v>+923278390720</v>
      </c>
      <c r="F70" s="4" t="s">
        <v>811</v>
      </c>
      <c r="G70" s="4" t="s">
        <v>812</v>
      </c>
      <c r="H70" s="4" t="s">
        <v>813</v>
      </c>
      <c r="I70" s="4" t="s">
        <v>813</v>
      </c>
      <c r="J70" s="6" t="str">
        <f>IFERROR(__xludf.DUMMYFUNCTION("TEXT(REGEXREPLACE(I70, ""[^0-9]"", """"), ""00000-0000000-0"")"),"33100-5831482-3")</f>
        <v>33100-5831482-3</v>
      </c>
      <c r="K70" s="7">
        <v>37831.0</v>
      </c>
      <c r="L70" s="4" t="s">
        <v>46</v>
      </c>
      <c r="M70" s="4" t="s">
        <v>814</v>
      </c>
      <c r="N70" s="4" t="s">
        <v>33</v>
      </c>
      <c r="O70" s="8">
        <v>2070040.0</v>
      </c>
      <c r="P70" s="8">
        <v>42.0</v>
      </c>
      <c r="Q70" s="9">
        <v>94.37</v>
      </c>
      <c r="R70" s="4" t="s">
        <v>815</v>
      </c>
      <c r="S70" s="4" t="s">
        <v>34</v>
      </c>
      <c r="T70" s="5" t="s">
        <v>816</v>
      </c>
      <c r="U70" s="4" t="s">
        <v>817</v>
      </c>
      <c r="V70" s="10" t="s">
        <v>818</v>
      </c>
      <c r="W70" s="10" t="s">
        <v>819</v>
      </c>
      <c r="X70" s="10" t="s">
        <v>820</v>
      </c>
      <c r="Y70" s="10" t="s">
        <v>821</v>
      </c>
      <c r="Z70" s="11" t="s">
        <v>40</v>
      </c>
      <c r="AA70" s="2"/>
      <c r="AB70" s="2"/>
      <c r="AC70" s="2"/>
      <c r="AD70" s="2"/>
      <c r="AE70" s="2"/>
      <c r="AF70" s="2"/>
    </row>
    <row r="71" ht="22.5" customHeight="1">
      <c r="A71" s="12">
        <v>46023.45309732639</v>
      </c>
      <c r="B71" s="13" t="s">
        <v>822</v>
      </c>
      <c r="C71" s="13" t="s">
        <v>822</v>
      </c>
      <c r="D71" s="14" t="s">
        <v>823</v>
      </c>
      <c r="E71" s="13" t="str">
        <f t="shared" si="1"/>
        <v>+923424672052</v>
      </c>
      <c r="F71" s="13" t="s">
        <v>824</v>
      </c>
      <c r="G71" s="13" t="s">
        <v>825</v>
      </c>
      <c r="H71" s="13" t="s">
        <v>826</v>
      </c>
      <c r="I71" s="13" t="s">
        <v>826</v>
      </c>
      <c r="J71" s="15" t="str">
        <f>IFERROR(__xludf.DUMMYFUNCTION("TEXT(REGEXREPLACE(I71, ""[^0-9]"", """"), ""00000-0000000-0"")"),"33103-3563057-5")</f>
        <v>33103-3563057-5</v>
      </c>
      <c r="K71" s="16">
        <v>38158.0</v>
      </c>
      <c r="L71" s="13" t="s">
        <v>46</v>
      </c>
      <c r="M71" s="13" t="s">
        <v>827</v>
      </c>
      <c r="N71" s="13" t="s">
        <v>33</v>
      </c>
      <c r="O71" s="17">
        <v>2071319.0</v>
      </c>
      <c r="P71" s="17">
        <v>172.0</v>
      </c>
      <c r="Q71" s="18">
        <v>93.9409</v>
      </c>
      <c r="R71" s="13" t="s">
        <v>825</v>
      </c>
      <c r="S71" s="13" t="s">
        <v>34</v>
      </c>
      <c r="T71" s="14" t="s">
        <v>828</v>
      </c>
      <c r="U71" s="13" t="s">
        <v>829</v>
      </c>
      <c r="V71" s="19" t="s">
        <v>830</v>
      </c>
      <c r="W71" s="19" t="s">
        <v>831</v>
      </c>
      <c r="X71" s="19" t="s">
        <v>832</v>
      </c>
      <c r="Y71" s="19" t="s">
        <v>833</v>
      </c>
      <c r="Z71" s="20" t="s">
        <v>40</v>
      </c>
      <c r="AA71" s="2"/>
      <c r="AB71" s="2"/>
      <c r="AC71" s="2"/>
      <c r="AD71" s="2"/>
      <c r="AE71" s="2"/>
      <c r="AF71" s="2"/>
    </row>
    <row r="72" ht="22.5" customHeight="1">
      <c r="A72" s="3">
        <v>46023.45350396991</v>
      </c>
      <c r="B72" s="4" t="s">
        <v>834</v>
      </c>
      <c r="C72" s="4" t="s">
        <v>835</v>
      </c>
      <c r="D72" s="5" t="s">
        <v>836</v>
      </c>
      <c r="E72" s="4" t="str">
        <f t="shared" si="1"/>
        <v>+923075346884</v>
      </c>
      <c r="F72" s="4" t="s">
        <v>837</v>
      </c>
      <c r="G72" s="4" t="s">
        <v>838</v>
      </c>
      <c r="H72" s="8">
        <v>3.740693459733E12</v>
      </c>
      <c r="I72" s="8">
        <v>3.740693459733E12</v>
      </c>
      <c r="J72" s="21" t="str">
        <f>IFERROR(__xludf.DUMMYFUNCTION("TEXT(REGEXREPLACE(I72, ""[^0-9]"", """"), ""00000-0000000-0"")"),"#VALUE!")</f>
        <v>#VALUE!</v>
      </c>
      <c r="K72" s="7">
        <v>38196.0</v>
      </c>
      <c r="L72" s="4" t="s">
        <v>46</v>
      </c>
      <c r="M72" s="4" t="s">
        <v>839</v>
      </c>
      <c r="N72" s="4" t="s">
        <v>48</v>
      </c>
      <c r="O72" s="8">
        <v>7081174.0</v>
      </c>
      <c r="P72" s="8">
        <v>226.0</v>
      </c>
      <c r="Q72" s="9">
        <v>93.8707</v>
      </c>
      <c r="R72" s="4" t="s">
        <v>838</v>
      </c>
      <c r="S72" s="4" t="s">
        <v>50</v>
      </c>
      <c r="T72" s="5" t="s">
        <v>840</v>
      </c>
      <c r="U72" s="4" t="s">
        <v>841</v>
      </c>
      <c r="V72" s="10" t="s">
        <v>842</v>
      </c>
      <c r="W72" s="10" t="s">
        <v>843</v>
      </c>
      <c r="X72" s="10" t="s">
        <v>844</v>
      </c>
      <c r="Y72" s="10" t="s">
        <v>845</v>
      </c>
      <c r="Z72" s="11" t="s">
        <v>40</v>
      </c>
      <c r="AA72" s="2"/>
      <c r="AB72" s="2"/>
      <c r="AC72" s="2"/>
      <c r="AD72" s="2"/>
      <c r="AE72" s="2"/>
      <c r="AF72" s="2"/>
    </row>
    <row r="73" ht="22.5" customHeight="1">
      <c r="A73" s="12">
        <v>46023.455510625005</v>
      </c>
      <c r="B73" s="13" t="s">
        <v>846</v>
      </c>
      <c r="C73" s="13" t="s">
        <v>847</v>
      </c>
      <c r="D73" s="14" t="s">
        <v>848</v>
      </c>
      <c r="E73" s="13" t="str">
        <f t="shared" si="1"/>
        <v>+923096362527</v>
      </c>
      <c r="F73" s="13" t="s">
        <v>849</v>
      </c>
      <c r="G73" s="13" t="s">
        <v>850</v>
      </c>
      <c r="H73" s="13" t="s">
        <v>851</v>
      </c>
      <c r="I73" s="13" t="s">
        <v>851</v>
      </c>
      <c r="J73" s="15" t="str">
        <f>IFERROR(__xludf.DUMMYFUNCTION("TEXT(REGEXREPLACE(I73, ""[^0-9]"", """"), ""00000-0000000-0"")"),"33105-6456209-6")</f>
        <v>33105-6456209-6</v>
      </c>
      <c r="K73" s="16">
        <v>38370.0</v>
      </c>
      <c r="L73" s="13" t="s">
        <v>31</v>
      </c>
      <c r="M73" s="13" t="s">
        <v>852</v>
      </c>
      <c r="N73" s="13" t="s">
        <v>33</v>
      </c>
      <c r="O73" s="17">
        <v>2012259.0</v>
      </c>
      <c r="P73" s="17">
        <v>247.0</v>
      </c>
      <c r="Q73" s="18">
        <v>93.8455</v>
      </c>
      <c r="R73" s="13" t="s">
        <v>853</v>
      </c>
      <c r="S73" s="13" t="s">
        <v>34</v>
      </c>
      <c r="T73" s="14" t="s">
        <v>854</v>
      </c>
      <c r="U73" s="13" t="s">
        <v>847</v>
      </c>
      <c r="V73" s="19" t="s">
        <v>855</v>
      </c>
      <c r="W73" s="19" t="s">
        <v>856</v>
      </c>
      <c r="X73" s="19" t="s">
        <v>857</v>
      </c>
      <c r="Y73" s="19" t="s">
        <v>858</v>
      </c>
      <c r="Z73" s="20" t="s">
        <v>40</v>
      </c>
      <c r="AA73" s="2"/>
      <c r="AB73" s="2"/>
      <c r="AC73" s="2"/>
      <c r="AD73" s="2"/>
      <c r="AE73" s="2"/>
      <c r="AF73" s="2"/>
    </row>
    <row r="74" ht="22.5" customHeight="1">
      <c r="A74" s="3">
        <v>46023.45651427083</v>
      </c>
      <c r="B74" s="4" t="s">
        <v>859</v>
      </c>
      <c r="C74" s="4" t="s">
        <v>859</v>
      </c>
      <c r="D74" s="5" t="s">
        <v>860</v>
      </c>
      <c r="E74" s="4" t="str">
        <f t="shared" si="1"/>
        <v>+923276032732</v>
      </c>
      <c r="F74" s="4" t="s">
        <v>861</v>
      </c>
      <c r="G74" s="4" t="s">
        <v>862</v>
      </c>
      <c r="H74" s="4" t="s">
        <v>863</v>
      </c>
      <c r="I74" s="4" t="s">
        <v>863</v>
      </c>
      <c r="J74" s="6" t="str">
        <f>IFERROR(__xludf.DUMMYFUNCTION("TEXT(REGEXREPLACE(I74, ""[^0-9]"", """"), ""00000-0000000-0"")"),"35501-0449662-6")</f>
        <v>35501-0449662-6</v>
      </c>
      <c r="K74" s="7">
        <v>37975.0</v>
      </c>
      <c r="L74" s="4" t="s">
        <v>31</v>
      </c>
      <c r="M74" s="4" t="s">
        <v>864</v>
      </c>
      <c r="N74" s="4" t="s">
        <v>93</v>
      </c>
      <c r="O74" s="8">
        <v>1010138.0</v>
      </c>
      <c r="P74" s="8">
        <v>88.0</v>
      </c>
      <c r="Q74" s="9">
        <v>93.0</v>
      </c>
      <c r="R74" s="4" t="s">
        <v>862</v>
      </c>
      <c r="S74" s="4" t="s">
        <v>34</v>
      </c>
      <c r="T74" s="5" t="s">
        <v>865</v>
      </c>
      <c r="U74" s="4" t="s">
        <v>859</v>
      </c>
      <c r="V74" s="10" t="s">
        <v>866</v>
      </c>
      <c r="W74" s="10" t="s">
        <v>867</v>
      </c>
      <c r="X74" s="10" t="s">
        <v>868</v>
      </c>
      <c r="Y74" s="10" t="s">
        <v>869</v>
      </c>
      <c r="Z74" s="11" t="s">
        <v>40</v>
      </c>
      <c r="AA74" s="2"/>
      <c r="AB74" s="2"/>
      <c r="AC74" s="2"/>
      <c r="AD74" s="2"/>
      <c r="AE74" s="2"/>
      <c r="AF74" s="2"/>
    </row>
    <row r="75" ht="22.5" customHeight="1">
      <c r="A75" s="12">
        <v>46023.458210798606</v>
      </c>
      <c r="B75" s="13" t="s">
        <v>870</v>
      </c>
      <c r="C75" s="13" t="s">
        <v>871</v>
      </c>
      <c r="D75" s="14" t="s">
        <v>872</v>
      </c>
      <c r="E75" s="13" t="str">
        <f t="shared" si="1"/>
        <v>+923341762232</v>
      </c>
      <c r="F75" s="13" t="s">
        <v>873</v>
      </c>
      <c r="G75" s="13" t="s">
        <v>874</v>
      </c>
      <c r="H75" s="17">
        <v>3.310434156384E12</v>
      </c>
      <c r="I75" s="17">
        <v>3.310434156384E12</v>
      </c>
      <c r="J75" s="22" t="str">
        <f>IFERROR(__xludf.DUMMYFUNCTION("TEXT(REGEXREPLACE(I75, ""[^0-9]"", """"), ""00000-0000000-0"")"),"#VALUE!")</f>
        <v>#VALUE!</v>
      </c>
      <c r="K75" s="16">
        <v>38607.0</v>
      </c>
      <c r="L75" s="13" t="s">
        <v>31</v>
      </c>
      <c r="M75" s="13" t="s">
        <v>875</v>
      </c>
      <c r="N75" s="13" t="s">
        <v>33</v>
      </c>
      <c r="O75" s="17">
        <v>2010626.0</v>
      </c>
      <c r="P75" s="17">
        <v>66.0</v>
      </c>
      <c r="Q75" s="18">
        <v>93.5</v>
      </c>
      <c r="R75" s="13" t="s">
        <v>874</v>
      </c>
      <c r="S75" s="13" t="s">
        <v>34</v>
      </c>
      <c r="T75" s="14" t="s">
        <v>876</v>
      </c>
      <c r="U75" s="13" t="s">
        <v>877</v>
      </c>
      <c r="V75" s="19" t="s">
        <v>878</v>
      </c>
      <c r="W75" s="19" t="s">
        <v>879</v>
      </c>
      <c r="X75" s="19" t="s">
        <v>880</v>
      </c>
      <c r="Y75" s="19" t="s">
        <v>881</v>
      </c>
      <c r="Z75" s="20" t="s">
        <v>40</v>
      </c>
      <c r="AA75" s="2"/>
      <c r="AB75" s="2"/>
      <c r="AC75" s="2"/>
      <c r="AD75" s="2"/>
      <c r="AE75" s="2"/>
      <c r="AF75" s="2"/>
    </row>
    <row r="76" ht="22.5" customHeight="1">
      <c r="A76" s="3">
        <v>46023.46215898148</v>
      </c>
      <c r="B76" s="4" t="s">
        <v>882</v>
      </c>
      <c r="C76" s="4" t="s">
        <v>882</v>
      </c>
      <c r="D76" s="4" t="s">
        <v>883</v>
      </c>
      <c r="E76" s="4" t="str">
        <f t="shared" si="1"/>
        <v>+923332324138</v>
      </c>
      <c r="F76" s="4" t="s">
        <v>884</v>
      </c>
      <c r="G76" s="4" t="s">
        <v>885</v>
      </c>
      <c r="H76" s="4" t="s">
        <v>886</v>
      </c>
      <c r="I76" s="4" t="s">
        <v>886</v>
      </c>
      <c r="J76" s="6" t="str">
        <f>IFERROR(__xludf.DUMMYFUNCTION("TEXT(REGEXREPLACE(I76, ""[^0-9]"", """"), ""00000-0000000-0"")"),"38302-8008237-7")</f>
        <v>38302-8008237-7</v>
      </c>
      <c r="K76" s="7">
        <v>39733.0</v>
      </c>
      <c r="L76" s="4" t="s">
        <v>46</v>
      </c>
      <c r="M76" s="4" t="s">
        <v>887</v>
      </c>
      <c r="N76" s="4" t="s">
        <v>48</v>
      </c>
      <c r="O76" s="8">
        <v>7081548.0</v>
      </c>
      <c r="P76" s="8">
        <v>279.0</v>
      </c>
      <c r="Q76" s="9">
        <v>93.68</v>
      </c>
      <c r="R76" s="4" t="s">
        <v>885</v>
      </c>
      <c r="S76" s="4" t="s">
        <v>34</v>
      </c>
      <c r="T76" s="4" t="s">
        <v>888</v>
      </c>
      <c r="U76" s="4" t="s">
        <v>889</v>
      </c>
      <c r="V76" s="10" t="s">
        <v>890</v>
      </c>
      <c r="W76" s="10" t="s">
        <v>891</v>
      </c>
      <c r="X76" s="10" t="s">
        <v>892</v>
      </c>
      <c r="Y76" s="10" t="s">
        <v>893</v>
      </c>
      <c r="Z76" s="11" t="s">
        <v>40</v>
      </c>
      <c r="AA76" s="2"/>
      <c r="AB76" s="2"/>
      <c r="AC76" s="2"/>
      <c r="AD76" s="2"/>
      <c r="AE76" s="2"/>
      <c r="AF76" s="2"/>
    </row>
    <row r="77" ht="22.5" customHeight="1">
      <c r="A77" s="12">
        <v>46023.463328495374</v>
      </c>
      <c r="B77" s="13" t="s">
        <v>894</v>
      </c>
      <c r="C77" s="13" t="s">
        <v>894</v>
      </c>
      <c r="D77" s="14" t="s">
        <v>895</v>
      </c>
      <c r="E77" s="13" t="str">
        <f t="shared" si="1"/>
        <v>+923116105745</v>
      </c>
      <c r="F77" s="13" t="s">
        <v>896</v>
      </c>
      <c r="G77" s="13" t="s">
        <v>897</v>
      </c>
      <c r="H77" s="13" t="s">
        <v>898</v>
      </c>
      <c r="I77" s="13" t="s">
        <v>898</v>
      </c>
      <c r="J77" s="15" t="str">
        <f>IFERROR(__xludf.DUMMYFUNCTION("TEXT(REGEXREPLACE(I77, ""[^0-9]"", """"), ""00000-0000000-0"")"),"35202-4611529-3")</f>
        <v>35202-4611529-3</v>
      </c>
      <c r="K77" s="16">
        <v>39469.0</v>
      </c>
      <c r="L77" s="13" t="s">
        <v>46</v>
      </c>
      <c r="M77" s="13" t="s">
        <v>899</v>
      </c>
      <c r="N77" s="13" t="s">
        <v>33</v>
      </c>
      <c r="O77" s="17">
        <v>1072393.0</v>
      </c>
      <c r="P77" s="17">
        <v>214.0</v>
      </c>
      <c r="Q77" s="18">
        <v>93.8864</v>
      </c>
      <c r="R77" s="13" t="s">
        <v>900</v>
      </c>
      <c r="S77" s="13" t="s">
        <v>34</v>
      </c>
      <c r="T77" s="14" t="s">
        <v>901</v>
      </c>
      <c r="U77" s="13" t="s">
        <v>894</v>
      </c>
      <c r="V77" s="19" t="s">
        <v>902</v>
      </c>
      <c r="W77" s="19" t="s">
        <v>903</v>
      </c>
      <c r="X77" s="19" t="s">
        <v>904</v>
      </c>
      <c r="Y77" s="19" t="s">
        <v>905</v>
      </c>
      <c r="Z77" s="20" t="s">
        <v>40</v>
      </c>
      <c r="AA77" s="2"/>
      <c r="AB77" s="2"/>
      <c r="AC77" s="2"/>
      <c r="AD77" s="2"/>
      <c r="AE77" s="2"/>
      <c r="AF77" s="2"/>
    </row>
    <row r="78" ht="22.5" customHeight="1">
      <c r="A78" s="3">
        <v>46023.46694642361</v>
      </c>
      <c r="B78" s="4" t="s">
        <v>906</v>
      </c>
      <c r="C78" s="4" t="s">
        <v>906</v>
      </c>
      <c r="D78" s="5" t="s">
        <v>907</v>
      </c>
      <c r="E78" s="4" t="str">
        <f t="shared" si="1"/>
        <v>+923167528622</v>
      </c>
      <c r="F78" s="4" t="s">
        <v>908</v>
      </c>
      <c r="G78" s="4" t="s">
        <v>909</v>
      </c>
      <c r="H78" s="8">
        <v>3.320291742909E12</v>
      </c>
      <c r="I78" s="8">
        <v>3.320291742909E12</v>
      </c>
      <c r="J78" s="21" t="str">
        <f>IFERROR(__xludf.DUMMYFUNCTION("TEXT(REGEXREPLACE(I78, ""[^0-9]"", """"), ""00000-0000000-0"")"),"#VALUE!")</f>
        <v>#VALUE!</v>
      </c>
      <c r="K78" s="7">
        <v>38245.0</v>
      </c>
      <c r="L78" s="4" t="s">
        <v>46</v>
      </c>
      <c r="M78" s="4" t="s">
        <v>910</v>
      </c>
      <c r="N78" s="4" t="s">
        <v>33</v>
      </c>
      <c r="O78" s="8">
        <v>2070029.0</v>
      </c>
      <c r="P78" s="8">
        <v>100.0</v>
      </c>
      <c r="Q78" s="9">
        <v>94.1136</v>
      </c>
      <c r="R78" s="4" t="s">
        <v>909</v>
      </c>
      <c r="S78" s="4" t="s">
        <v>34</v>
      </c>
      <c r="T78" s="5" t="s">
        <v>911</v>
      </c>
      <c r="U78" s="4" t="s">
        <v>912</v>
      </c>
      <c r="V78" s="10" t="s">
        <v>913</v>
      </c>
      <c r="W78" s="10" t="s">
        <v>914</v>
      </c>
      <c r="X78" s="10" t="s">
        <v>915</v>
      </c>
      <c r="Y78" s="10" t="s">
        <v>916</v>
      </c>
      <c r="Z78" s="11" t="s">
        <v>40</v>
      </c>
      <c r="AA78" s="2"/>
      <c r="AB78" s="2"/>
      <c r="AC78" s="2"/>
      <c r="AD78" s="2"/>
      <c r="AE78" s="2"/>
      <c r="AF78" s="2"/>
    </row>
    <row r="79" ht="22.5" customHeight="1">
      <c r="A79" s="12">
        <v>46023.467044467594</v>
      </c>
      <c r="B79" s="13" t="s">
        <v>917</v>
      </c>
      <c r="C79" s="13" t="s">
        <v>917</v>
      </c>
      <c r="D79" s="14" t="s">
        <v>918</v>
      </c>
      <c r="E79" s="13" t="str">
        <f t="shared" si="1"/>
        <v>+923220453899</v>
      </c>
      <c r="F79" s="13" t="s">
        <v>919</v>
      </c>
      <c r="G79" s="13" t="s">
        <v>920</v>
      </c>
      <c r="H79" s="13" t="s">
        <v>921</v>
      </c>
      <c r="I79" s="13" t="s">
        <v>921</v>
      </c>
      <c r="J79" s="15" t="str">
        <f>IFERROR(__xludf.DUMMYFUNCTION("TEXT(REGEXREPLACE(I79, ""[^0-9]"", """"), ""00000-0000000-0"")"),"33101-3669288-7")</f>
        <v>33101-3669288-7</v>
      </c>
      <c r="K79" s="16">
        <v>39022.0</v>
      </c>
      <c r="L79" s="13" t="s">
        <v>46</v>
      </c>
      <c r="M79" s="13" t="s">
        <v>922</v>
      </c>
      <c r="N79" s="13" t="s">
        <v>33</v>
      </c>
      <c r="O79" s="17">
        <v>2090228.0</v>
      </c>
      <c r="P79" s="17">
        <v>16.0</v>
      </c>
      <c r="Q79" s="18">
        <v>94.807</v>
      </c>
      <c r="R79" s="13" t="s">
        <v>920</v>
      </c>
      <c r="S79" s="13" t="s">
        <v>50</v>
      </c>
      <c r="T79" s="14" t="s">
        <v>923</v>
      </c>
      <c r="U79" s="13" t="s">
        <v>924</v>
      </c>
      <c r="V79" s="19" t="s">
        <v>925</v>
      </c>
      <c r="W79" s="19" t="s">
        <v>926</v>
      </c>
      <c r="X79" s="19" t="s">
        <v>927</v>
      </c>
      <c r="Y79" s="19" t="s">
        <v>928</v>
      </c>
      <c r="Z79" s="20" t="s">
        <v>40</v>
      </c>
      <c r="AA79" s="2"/>
      <c r="AB79" s="2"/>
      <c r="AC79" s="2"/>
      <c r="AD79" s="2"/>
      <c r="AE79" s="2"/>
      <c r="AF79" s="2"/>
    </row>
    <row r="80" ht="22.5" customHeight="1">
      <c r="A80" s="3">
        <v>46023.48154787037</v>
      </c>
      <c r="B80" s="4" t="s">
        <v>929</v>
      </c>
      <c r="C80" s="4" t="s">
        <v>929</v>
      </c>
      <c r="D80" s="5" t="s">
        <v>930</v>
      </c>
      <c r="E80" s="4" t="str">
        <f t="shared" si="1"/>
        <v>+923232763733</v>
      </c>
      <c r="F80" s="4" t="s">
        <v>931</v>
      </c>
      <c r="G80" s="4" t="s">
        <v>932</v>
      </c>
      <c r="H80" s="8">
        <v>3.33018511195E12</v>
      </c>
      <c r="I80" s="8">
        <v>3.33018511195E12</v>
      </c>
      <c r="J80" s="21" t="str">
        <f>IFERROR(__xludf.DUMMYFUNCTION("TEXT(REGEXREPLACE(I80, ""[^0-9]"", """"), ""00000-0000000-0"")"),"#VALUE!")</f>
        <v>#VALUE!</v>
      </c>
      <c r="K80" s="7">
        <v>38878.0</v>
      </c>
      <c r="L80" s="4" t="s">
        <v>31</v>
      </c>
      <c r="M80" s="4" t="s">
        <v>933</v>
      </c>
      <c r="N80" s="4" t="s">
        <v>33</v>
      </c>
      <c r="O80" s="8">
        <v>2012126.0</v>
      </c>
      <c r="P80" s="8">
        <v>138.0</v>
      </c>
      <c r="Q80" s="9">
        <v>93.8889</v>
      </c>
      <c r="R80" s="4" t="s">
        <v>934</v>
      </c>
      <c r="S80" s="4" t="s">
        <v>34</v>
      </c>
      <c r="T80" s="5" t="s">
        <v>935</v>
      </c>
      <c r="U80" s="4" t="s">
        <v>936</v>
      </c>
      <c r="V80" s="10" t="s">
        <v>937</v>
      </c>
      <c r="W80" s="10" t="s">
        <v>938</v>
      </c>
      <c r="X80" s="10" t="s">
        <v>939</v>
      </c>
      <c r="Y80" s="10" t="s">
        <v>940</v>
      </c>
      <c r="Z80" s="11" t="s">
        <v>40</v>
      </c>
      <c r="AA80" s="2"/>
      <c r="AB80" s="2"/>
      <c r="AC80" s="2"/>
      <c r="AD80" s="2"/>
      <c r="AE80" s="2"/>
      <c r="AF80" s="2"/>
    </row>
    <row r="81" ht="22.5" customHeight="1">
      <c r="A81" s="12">
        <v>46023.4843371412</v>
      </c>
      <c r="B81" s="13" t="s">
        <v>941</v>
      </c>
      <c r="C81" s="13" t="s">
        <v>941</v>
      </c>
      <c r="D81" s="14" t="s">
        <v>942</v>
      </c>
      <c r="E81" s="13" t="str">
        <f t="shared" si="1"/>
        <v>+923465791098</v>
      </c>
      <c r="F81" s="13" t="s">
        <v>943</v>
      </c>
      <c r="G81" s="13" t="s">
        <v>119</v>
      </c>
      <c r="H81" s="17">
        <v>3.840105344308E12</v>
      </c>
      <c r="I81" s="17">
        <v>3.840105344308E12</v>
      </c>
      <c r="J81" s="22" t="str">
        <f>IFERROR(__xludf.DUMMYFUNCTION("TEXT(REGEXREPLACE(I81, ""[^0-9]"", """"), ""00000-0000000-0"")"),"#VALUE!")</f>
        <v>#VALUE!</v>
      </c>
      <c r="K81" s="16">
        <v>39448.0</v>
      </c>
      <c r="L81" s="13" t="s">
        <v>31</v>
      </c>
      <c r="M81" s="13" t="s">
        <v>944</v>
      </c>
      <c r="N81" s="13" t="s">
        <v>33</v>
      </c>
      <c r="O81" s="17">
        <v>3010556.0</v>
      </c>
      <c r="P81" s="17">
        <v>38.0</v>
      </c>
      <c r="Q81" s="18">
        <v>94.4091</v>
      </c>
      <c r="R81" s="13" t="s">
        <v>117</v>
      </c>
      <c r="S81" s="13" t="s">
        <v>50</v>
      </c>
      <c r="T81" s="14" t="s">
        <v>945</v>
      </c>
      <c r="U81" s="13" t="s">
        <v>946</v>
      </c>
      <c r="V81" s="19" t="s">
        <v>947</v>
      </c>
      <c r="W81" s="19" t="s">
        <v>948</v>
      </c>
      <c r="X81" s="19" t="s">
        <v>949</v>
      </c>
      <c r="Y81" s="19" t="s">
        <v>950</v>
      </c>
      <c r="Z81" s="20" t="s">
        <v>40</v>
      </c>
      <c r="AA81" s="2"/>
      <c r="AB81" s="2"/>
      <c r="AC81" s="2"/>
      <c r="AD81" s="2"/>
      <c r="AE81" s="2"/>
      <c r="AF81" s="2"/>
    </row>
    <row r="82" ht="22.5" customHeight="1">
      <c r="A82" s="3">
        <v>46023.48513826389</v>
      </c>
      <c r="B82" s="4" t="s">
        <v>951</v>
      </c>
      <c r="C82" s="4" t="s">
        <v>951</v>
      </c>
      <c r="D82" s="5" t="s">
        <v>952</v>
      </c>
      <c r="E82" s="4" t="str">
        <f t="shared" si="1"/>
        <v>+923052111435</v>
      </c>
      <c r="F82" s="4" t="s">
        <v>953</v>
      </c>
      <c r="G82" s="4" t="s">
        <v>954</v>
      </c>
      <c r="H82" s="4" t="s">
        <v>955</v>
      </c>
      <c r="I82" s="4" t="s">
        <v>955</v>
      </c>
      <c r="J82" s="6" t="str">
        <f>IFERROR(__xludf.DUMMYFUNCTION("TEXT(REGEXREPLACE(I82, ""[^0-9]"", """"), ""00000-0000000-0"")"),"33106-5960965-0")</f>
        <v>33106-5960965-0</v>
      </c>
      <c r="K82" s="7">
        <v>39344.0</v>
      </c>
      <c r="L82" s="4" t="s">
        <v>31</v>
      </c>
      <c r="M82" s="4" t="s">
        <v>956</v>
      </c>
      <c r="N82" s="4" t="s">
        <v>33</v>
      </c>
      <c r="O82" s="8">
        <v>2010689.0</v>
      </c>
      <c r="P82" s="8">
        <v>80.0</v>
      </c>
      <c r="Q82" s="9">
        <v>95.0</v>
      </c>
      <c r="R82" s="4" t="s">
        <v>954</v>
      </c>
      <c r="S82" s="4" t="s">
        <v>34</v>
      </c>
      <c r="T82" s="5" t="s">
        <v>957</v>
      </c>
      <c r="U82" s="4" t="s">
        <v>958</v>
      </c>
      <c r="V82" s="10" t="s">
        <v>959</v>
      </c>
      <c r="W82" s="10" t="s">
        <v>960</v>
      </c>
      <c r="X82" s="10" t="s">
        <v>961</v>
      </c>
      <c r="Y82" s="10" t="s">
        <v>962</v>
      </c>
      <c r="Z82" s="11" t="s">
        <v>40</v>
      </c>
      <c r="AA82" s="2"/>
      <c r="AB82" s="2"/>
      <c r="AC82" s="2"/>
      <c r="AD82" s="2"/>
      <c r="AE82" s="2"/>
      <c r="AF82" s="2"/>
    </row>
    <row r="83" ht="22.5" customHeight="1">
      <c r="A83" s="12">
        <v>46023.489484942125</v>
      </c>
      <c r="B83" s="13" t="s">
        <v>963</v>
      </c>
      <c r="C83" s="13" t="s">
        <v>963</v>
      </c>
      <c r="D83" s="14" t="s">
        <v>964</v>
      </c>
      <c r="E83" s="13" t="str">
        <f t="shared" si="1"/>
        <v>+923366661260</v>
      </c>
      <c r="F83" s="13" t="s">
        <v>965</v>
      </c>
      <c r="G83" s="13" t="s">
        <v>966</v>
      </c>
      <c r="H83" s="17">
        <v>3.310268144809E12</v>
      </c>
      <c r="I83" s="17">
        <v>3.310268144809E12</v>
      </c>
      <c r="J83" s="22" t="str">
        <f>IFERROR(__xludf.DUMMYFUNCTION("TEXT(REGEXREPLACE(I83, ""[^0-9]"", """"), ""00000-0000000-0"")"),"#VALUE!")</f>
        <v>#VALUE!</v>
      </c>
      <c r="K83" s="16">
        <v>40009.0</v>
      </c>
      <c r="L83" s="13" t="s">
        <v>46</v>
      </c>
      <c r="M83" s="13" t="s">
        <v>967</v>
      </c>
      <c r="N83" s="13" t="s">
        <v>33</v>
      </c>
      <c r="O83" s="17">
        <v>2091238.0</v>
      </c>
      <c r="P83" s="17">
        <v>249.0</v>
      </c>
      <c r="Q83" s="18">
        <v>93.8424</v>
      </c>
      <c r="R83" s="13" t="s">
        <v>968</v>
      </c>
      <c r="S83" s="13" t="s">
        <v>50</v>
      </c>
      <c r="T83" s="14" t="s">
        <v>969</v>
      </c>
      <c r="U83" s="13" t="s">
        <v>970</v>
      </c>
      <c r="V83" s="19" t="s">
        <v>971</v>
      </c>
      <c r="W83" s="19" t="s">
        <v>972</v>
      </c>
      <c r="X83" s="19" t="s">
        <v>973</v>
      </c>
      <c r="Y83" s="19" t="s">
        <v>974</v>
      </c>
      <c r="Z83" s="20" t="s">
        <v>40</v>
      </c>
      <c r="AA83" s="2"/>
      <c r="AB83" s="2"/>
      <c r="AC83" s="2"/>
      <c r="AD83" s="2"/>
      <c r="AE83" s="2"/>
      <c r="AF83" s="2"/>
    </row>
    <row r="84" ht="22.5" customHeight="1">
      <c r="A84" s="3">
        <v>46023.491971435185</v>
      </c>
      <c r="B84" s="4" t="s">
        <v>975</v>
      </c>
      <c r="C84" s="4" t="s">
        <v>975</v>
      </c>
      <c r="D84" s="5" t="s">
        <v>976</v>
      </c>
      <c r="E84" s="4" t="str">
        <f t="shared" si="1"/>
        <v>+923186304741</v>
      </c>
      <c r="F84" s="4" t="s">
        <v>977</v>
      </c>
      <c r="G84" s="4" t="s">
        <v>978</v>
      </c>
      <c r="H84" s="8">
        <v>3.310004116321E12</v>
      </c>
      <c r="I84" s="8">
        <v>3.310004116321E12</v>
      </c>
      <c r="J84" s="21" t="str">
        <f>IFERROR(__xludf.DUMMYFUNCTION("TEXT(REGEXREPLACE(I84, ""[^0-9]"", """"), ""00000-0000000-0"")"),"#VALUE!")</f>
        <v>#VALUE!</v>
      </c>
      <c r="K84" s="7">
        <v>39092.0</v>
      </c>
      <c r="L84" s="4" t="s">
        <v>46</v>
      </c>
      <c r="M84" s="4" t="s">
        <v>979</v>
      </c>
      <c r="N84" s="4" t="s">
        <v>33</v>
      </c>
      <c r="O84" s="8">
        <v>2090114.0</v>
      </c>
      <c r="P84" s="8">
        <v>47.0</v>
      </c>
      <c r="Q84" s="9">
        <v>94.377</v>
      </c>
      <c r="R84" s="4" t="s">
        <v>980</v>
      </c>
      <c r="S84" s="4" t="s">
        <v>50</v>
      </c>
      <c r="T84" s="5" t="s">
        <v>981</v>
      </c>
      <c r="U84" s="4" t="s">
        <v>982</v>
      </c>
      <c r="V84" s="10" t="s">
        <v>983</v>
      </c>
      <c r="W84" s="10" t="s">
        <v>984</v>
      </c>
      <c r="X84" s="10" t="s">
        <v>985</v>
      </c>
      <c r="Y84" s="10" t="s">
        <v>986</v>
      </c>
      <c r="Z84" s="11" t="s">
        <v>40</v>
      </c>
      <c r="AA84" s="2"/>
      <c r="AB84" s="2"/>
      <c r="AC84" s="2"/>
      <c r="AD84" s="2"/>
      <c r="AE84" s="2"/>
      <c r="AF84" s="2"/>
    </row>
    <row r="85" ht="22.5" customHeight="1">
      <c r="A85" s="12">
        <v>46023.49837195602</v>
      </c>
      <c r="B85" s="13" t="s">
        <v>987</v>
      </c>
      <c r="C85" s="13" t="s">
        <v>987</v>
      </c>
      <c r="D85" s="14" t="s">
        <v>988</v>
      </c>
      <c r="E85" s="13" t="str">
        <f t="shared" si="1"/>
        <v>+923091665819</v>
      </c>
      <c r="F85" s="13" t="s">
        <v>989</v>
      </c>
      <c r="G85" s="13" t="s">
        <v>990</v>
      </c>
      <c r="H85" s="17">
        <v>3.220378051739E12</v>
      </c>
      <c r="I85" s="17">
        <v>3.220378051739E12</v>
      </c>
      <c r="J85" s="22" t="str">
        <f>IFERROR(__xludf.DUMMYFUNCTION("TEXT(REGEXREPLACE(I85, ""[^0-9]"", """"), ""00000-0000000-0"")"),"#VALUE!")</f>
        <v>#VALUE!</v>
      </c>
      <c r="K85" s="16">
        <v>39741.0</v>
      </c>
      <c r="L85" s="13" t="s">
        <v>46</v>
      </c>
      <c r="M85" s="13" t="s">
        <v>991</v>
      </c>
      <c r="N85" s="13" t="s">
        <v>33</v>
      </c>
      <c r="O85" s="17">
        <v>9078106.0</v>
      </c>
      <c r="P85" s="17">
        <v>276.0</v>
      </c>
      <c r="Q85" s="18">
        <v>93.7667</v>
      </c>
      <c r="R85" s="13" t="s">
        <v>990</v>
      </c>
      <c r="S85" s="13" t="s">
        <v>34</v>
      </c>
      <c r="T85" s="14" t="s">
        <v>992</v>
      </c>
      <c r="U85" s="13" t="s">
        <v>993</v>
      </c>
      <c r="V85" s="19" t="s">
        <v>994</v>
      </c>
      <c r="W85" s="19" t="s">
        <v>995</v>
      </c>
      <c r="X85" s="19" t="s">
        <v>996</v>
      </c>
      <c r="Y85" s="19" t="s">
        <v>997</v>
      </c>
      <c r="Z85" s="20" t="s">
        <v>40</v>
      </c>
      <c r="AA85" s="2"/>
      <c r="AB85" s="2"/>
      <c r="AC85" s="2"/>
      <c r="AD85" s="2"/>
      <c r="AE85" s="2"/>
      <c r="AF85" s="2"/>
    </row>
    <row r="86" ht="22.5" customHeight="1">
      <c r="A86" s="3">
        <v>46023.503032685185</v>
      </c>
      <c r="B86" s="4" t="s">
        <v>998</v>
      </c>
      <c r="C86" s="4" t="s">
        <v>998</v>
      </c>
      <c r="D86" s="5" t="s">
        <v>999</v>
      </c>
      <c r="E86" s="4" t="str">
        <f t="shared" si="1"/>
        <v>+923053048889</v>
      </c>
      <c r="F86" s="4" t="s">
        <v>1000</v>
      </c>
      <c r="G86" s="4" t="s">
        <v>1001</v>
      </c>
      <c r="H86" s="8">
        <v>3.110169005317E12</v>
      </c>
      <c r="I86" s="8">
        <v>3.110169005317E12</v>
      </c>
      <c r="J86" s="21" t="str">
        <f>IFERROR(__xludf.DUMMYFUNCTION("TEXT(REGEXREPLACE(I86, ""[^0-9]"", """"), ""00000-0000000-0"")"),"#VALUE!")</f>
        <v>#VALUE!</v>
      </c>
      <c r="K86" s="7">
        <v>38671.0</v>
      </c>
      <c r="L86" s="4" t="s">
        <v>46</v>
      </c>
      <c r="M86" s="4" t="s">
        <v>1002</v>
      </c>
      <c r="N86" s="4" t="s">
        <v>33</v>
      </c>
      <c r="O86" s="8">
        <v>8070011.0</v>
      </c>
      <c r="P86" s="8">
        <v>241.0</v>
      </c>
      <c r="Q86" s="9">
        <v>94.44</v>
      </c>
      <c r="R86" s="4" t="s">
        <v>1003</v>
      </c>
      <c r="S86" s="4" t="s">
        <v>95</v>
      </c>
      <c r="T86" s="5" t="s">
        <v>1004</v>
      </c>
      <c r="U86" s="4" t="s">
        <v>1005</v>
      </c>
      <c r="V86" s="10" t="s">
        <v>1006</v>
      </c>
      <c r="W86" s="10" t="s">
        <v>1007</v>
      </c>
      <c r="X86" s="10" t="s">
        <v>1008</v>
      </c>
      <c r="Y86" s="10" t="s">
        <v>1009</v>
      </c>
      <c r="Z86" s="11" t="s">
        <v>40</v>
      </c>
      <c r="AA86" s="2"/>
      <c r="AB86" s="2"/>
      <c r="AC86" s="2"/>
      <c r="AD86" s="2"/>
      <c r="AE86" s="2"/>
      <c r="AF86" s="2"/>
    </row>
    <row r="87" ht="22.5" customHeight="1">
      <c r="A87" s="12">
        <v>46023.50474851852</v>
      </c>
      <c r="B87" s="13" t="s">
        <v>1010</v>
      </c>
      <c r="C87" s="13" t="s">
        <v>1010</v>
      </c>
      <c r="D87" s="14" t="s">
        <v>1011</v>
      </c>
      <c r="E87" s="13" t="str">
        <f t="shared" si="1"/>
        <v>+923711281106</v>
      </c>
      <c r="F87" s="13" t="s">
        <v>1012</v>
      </c>
      <c r="G87" s="13" t="s">
        <v>1013</v>
      </c>
      <c r="H87" s="17">
        <v>3.310248388816E12</v>
      </c>
      <c r="I87" s="17">
        <v>3.310248388816E12</v>
      </c>
      <c r="J87" s="22" t="str">
        <f>IFERROR(__xludf.DUMMYFUNCTION("TEXT(REGEXREPLACE(I87, ""[^0-9]"", """"), ""00000-0000000-0"")"),"#VALUE!")</f>
        <v>#VALUE!</v>
      </c>
      <c r="K87" s="16">
        <v>39306.0</v>
      </c>
      <c r="L87" s="13" t="s">
        <v>31</v>
      </c>
      <c r="M87" s="13" t="s">
        <v>1014</v>
      </c>
      <c r="N87" s="13" t="s">
        <v>33</v>
      </c>
      <c r="O87" s="17">
        <v>2011674.0</v>
      </c>
      <c r="P87" s="17">
        <v>55.0</v>
      </c>
      <c r="Q87" s="18">
        <v>93.8889</v>
      </c>
      <c r="R87" s="13" t="s">
        <v>1013</v>
      </c>
      <c r="S87" s="13" t="s">
        <v>34</v>
      </c>
      <c r="T87" s="14" t="s">
        <v>1015</v>
      </c>
      <c r="U87" s="13" t="s">
        <v>1016</v>
      </c>
      <c r="V87" s="19" t="s">
        <v>1017</v>
      </c>
      <c r="W87" s="19" t="s">
        <v>1018</v>
      </c>
      <c r="X87" s="19" t="s">
        <v>1019</v>
      </c>
      <c r="Y87" s="19" t="s">
        <v>1020</v>
      </c>
      <c r="Z87" s="20" t="s">
        <v>40</v>
      </c>
      <c r="AA87" s="2"/>
      <c r="AB87" s="2"/>
      <c r="AC87" s="2"/>
      <c r="AD87" s="2"/>
      <c r="AE87" s="2"/>
      <c r="AF87" s="2"/>
    </row>
    <row r="88" ht="22.5" customHeight="1">
      <c r="A88" s="3">
        <v>46023.51267793981</v>
      </c>
      <c r="B88" s="4" t="s">
        <v>1021</v>
      </c>
      <c r="C88" s="4" t="s">
        <v>1021</v>
      </c>
      <c r="D88" s="5" t="s">
        <v>1022</v>
      </c>
      <c r="E88" s="4" t="str">
        <f t="shared" si="1"/>
        <v>+923256221455</v>
      </c>
      <c r="F88" s="4" t="s">
        <v>1023</v>
      </c>
      <c r="G88" s="4" t="s">
        <v>1024</v>
      </c>
      <c r="H88" s="8">
        <v>3.610473075211E12</v>
      </c>
      <c r="I88" s="8">
        <v>3.610473075211E12</v>
      </c>
      <c r="J88" s="21" t="str">
        <f>IFERROR(__xludf.DUMMYFUNCTION("TEXT(REGEXREPLACE(I88, ""[^0-9]"", """"), ""00000-0000000-0"")"),"#VALUE!")</f>
        <v>#VALUE!</v>
      </c>
      <c r="K88" s="7">
        <v>38317.0</v>
      </c>
      <c r="L88" s="4" t="s">
        <v>46</v>
      </c>
      <c r="M88" s="4" t="s">
        <v>1025</v>
      </c>
      <c r="N88" s="4" t="s">
        <v>33</v>
      </c>
      <c r="O88" s="8">
        <v>9072831.0</v>
      </c>
      <c r="P88" s="8">
        <v>246.0</v>
      </c>
      <c r="Q88" s="9">
        <v>93.8515</v>
      </c>
      <c r="R88" s="4" t="s">
        <v>1024</v>
      </c>
      <c r="S88" s="4" t="s">
        <v>34</v>
      </c>
      <c r="T88" s="5" t="s">
        <v>1026</v>
      </c>
      <c r="U88" s="4" t="s">
        <v>1021</v>
      </c>
      <c r="V88" s="25"/>
      <c r="W88" s="25"/>
      <c r="X88" s="25"/>
      <c r="Y88" s="25"/>
      <c r="Z88" s="11" t="s">
        <v>40</v>
      </c>
      <c r="AA88" s="2"/>
      <c r="AB88" s="2"/>
      <c r="AC88" s="2"/>
      <c r="AD88" s="2"/>
      <c r="AE88" s="2"/>
      <c r="AF88" s="2"/>
    </row>
    <row r="89" ht="22.5" customHeight="1">
      <c r="A89" s="12">
        <v>46023.52012752315</v>
      </c>
      <c r="B89" s="13" t="s">
        <v>1027</v>
      </c>
      <c r="C89" s="13" t="s">
        <v>1027</v>
      </c>
      <c r="D89" s="14" t="s">
        <v>1028</v>
      </c>
      <c r="E89" s="13" t="str">
        <f t="shared" si="1"/>
        <v>+923176337787</v>
      </c>
      <c r="F89" s="13" t="s">
        <v>1029</v>
      </c>
      <c r="G89" s="13" t="s">
        <v>1030</v>
      </c>
      <c r="H89" s="13" t="s">
        <v>1031</v>
      </c>
      <c r="I89" s="13" t="s">
        <v>1031</v>
      </c>
      <c r="J89" s="15" t="str">
        <f>IFERROR(__xludf.DUMMYFUNCTION("TEXT(REGEXREPLACE(I89, ""[^0-9]"", """"), ""00000-0000000-0"")"),"33102-6288527-3")</f>
        <v>33102-6288527-3</v>
      </c>
      <c r="K89" s="16">
        <v>38611.0</v>
      </c>
      <c r="L89" s="13" t="s">
        <v>46</v>
      </c>
      <c r="M89" s="13" t="s">
        <v>1032</v>
      </c>
      <c r="N89" s="13" t="s">
        <v>33</v>
      </c>
      <c r="O89" s="17">
        <v>2090787.0</v>
      </c>
      <c r="P89" s="17">
        <v>110.0</v>
      </c>
      <c r="Q89" s="18">
        <v>95.56</v>
      </c>
      <c r="R89" s="13" t="s">
        <v>1033</v>
      </c>
      <c r="S89" s="13" t="s">
        <v>34</v>
      </c>
      <c r="T89" s="14" t="s">
        <v>1034</v>
      </c>
      <c r="U89" s="13" t="s">
        <v>1035</v>
      </c>
      <c r="V89" s="19" t="s">
        <v>1036</v>
      </c>
      <c r="W89" s="19" t="s">
        <v>1037</v>
      </c>
      <c r="X89" s="19" t="s">
        <v>1038</v>
      </c>
      <c r="Y89" s="19" t="s">
        <v>1039</v>
      </c>
      <c r="Z89" s="20" t="s">
        <v>40</v>
      </c>
      <c r="AA89" s="2"/>
      <c r="AB89" s="2"/>
      <c r="AC89" s="2"/>
      <c r="AD89" s="2"/>
      <c r="AE89" s="2"/>
      <c r="AF89" s="2"/>
    </row>
    <row r="90" ht="22.5" customHeight="1">
      <c r="A90" s="3">
        <v>46023.525116840276</v>
      </c>
      <c r="B90" s="4" t="s">
        <v>1040</v>
      </c>
      <c r="C90" s="4" t="s">
        <v>1040</v>
      </c>
      <c r="D90" s="5" t="s">
        <v>1041</v>
      </c>
      <c r="E90" s="4" t="str">
        <f t="shared" si="1"/>
        <v>+923061658405</v>
      </c>
      <c r="F90" s="4" t="s">
        <v>1042</v>
      </c>
      <c r="G90" s="4" t="s">
        <v>1043</v>
      </c>
      <c r="H90" s="4" t="s">
        <v>1044</v>
      </c>
      <c r="I90" s="4" t="s">
        <v>1044</v>
      </c>
      <c r="J90" s="6" t="str">
        <f>IFERROR(__xludf.DUMMYFUNCTION("TEXT(REGEXREPLACE(I90, ""[^0-9]"", """"), ""00000-0000000-0"")"),"33104-9041870-0")</f>
        <v>33104-9041870-0</v>
      </c>
      <c r="K90" s="7">
        <v>38932.0</v>
      </c>
      <c r="L90" s="4" t="s">
        <v>31</v>
      </c>
      <c r="M90" s="4" t="s">
        <v>1045</v>
      </c>
      <c r="N90" s="4" t="s">
        <v>33</v>
      </c>
      <c r="O90" s="8">
        <v>2011100.0</v>
      </c>
      <c r="P90" s="8">
        <v>95.0</v>
      </c>
      <c r="Q90" s="9">
        <v>94.0</v>
      </c>
      <c r="R90" s="4" t="s">
        <v>1043</v>
      </c>
      <c r="S90" s="4" t="s">
        <v>50</v>
      </c>
      <c r="T90" s="5" t="s">
        <v>1046</v>
      </c>
      <c r="U90" s="4" t="s">
        <v>1047</v>
      </c>
      <c r="V90" s="10" t="s">
        <v>1048</v>
      </c>
      <c r="W90" s="10" t="s">
        <v>1049</v>
      </c>
      <c r="X90" s="10" t="s">
        <v>1050</v>
      </c>
      <c r="Y90" s="10" t="s">
        <v>1051</v>
      </c>
      <c r="Z90" s="11" t="s">
        <v>40</v>
      </c>
      <c r="AA90" s="2"/>
      <c r="AB90" s="2"/>
      <c r="AC90" s="2"/>
      <c r="AD90" s="2"/>
      <c r="AE90" s="2"/>
      <c r="AF90" s="2"/>
    </row>
    <row r="91" ht="22.5" customHeight="1">
      <c r="A91" s="12">
        <v>46023.54512243056</v>
      </c>
      <c r="B91" s="13" t="s">
        <v>1052</v>
      </c>
      <c r="C91" s="13" t="s">
        <v>1052</v>
      </c>
      <c r="D91" s="14" t="s">
        <v>1053</v>
      </c>
      <c r="E91" s="13" t="str">
        <f t="shared" si="1"/>
        <v>+923326431994</v>
      </c>
      <c r="F91" s="13" t="s">
        <v>1054</v>
      </c>
      <c r="G91" s="13" t="s">
        <v>1055</v>
      </c>
      <c r="H91" s="13" t="s">
        <v>1056</v>
      </c>
      <c r="I91" s="13" t="s">
        <v>1056</v>
      </c>
      <c r="J91" s="15" t="str">
        <f>IFERROR(__xludf.DUMMYFUNCTION("TEXT(REGEXREPLACE(I91, ""[^0-9]"", """"), ""00000-0000000-0"")"),"33303-8491586-0")</f>
        <v>33303-8491586-0</v>
      </c>
      <c r="K91" s="16">
        <v>38328.0</v>
      </c>
      <c r="L91" s="13" t="s">
        <v>31</v>
      </c>
      <c r="M91" s="13" t="s">
        <v>1057</v>
      </c>
      <c r="N91" s="13" t="s">
        <v>33</v>
      </c>
      <c r="O91" s="17">
        <v>2012734.0</v>
      </c>
      <c r="P91" s="17">
        <v>103.0</v>
      </c>
      <c r="Q91" s="18">
        <v>94.1</v>
      </c>
      <c r="R91" s="13" t="s">
        <v>1055</v>
      </c>
      <c r="S91" s="13" t="s">
        <v>34</v>
      </c>
      <c r="T91" s="14" t="s">
        <v>1058</v>
      </c>
      <c r="U91" s="13" t="s">
        <v>1059</v>
      </c>
      <c r="V91" s="19" t="s">
        <v>1060</v>
      </c>
      <c r="W91" s="19" t="s">
        <v>1061</v>
      </c>
      <c r="X91" s="19" t="s">
        <v>1062</v>
      </c>
      <c r="Y91" s="19" t="s">
        <v>1063</v>
      </c>
      <c r="Z91" s="20" t="s">
        <v>40</v>
      </c>
      <c r="AA91" s="2"/>
      <c r="AB91" s="2"/>
      <c r="AC91" s="2"/>
      <c r="AD91" s="2"/>
      <c r="AE91" s="2"/>
      <c r="AF91" s="2"/>
    </row>
    <row r="92" ht="22.5" customHeight="1">
      <c r="A92" s="3">
        <v>46023.55068789352</v>
      </c>
      <c r="B92" s="4" t="s">
        <v>1064</v>
      </c>
      <c r="C92" s="4" t="s">
        <v>1064</v>
      </c>
      <c r="D92" s="5" t="s">
        <v>1065</v>
      </c>
      <c r="E92" s="4" t="str">
        <f t="shared" si="1"/>
        <v>+923008668766</v>
      </c>
      <c r="F92" s="4" t="s">
        <v>1066</v>
      </c>
      <c r="G92" s="4" t="s">
        <v>1067</v>
      </c>
      <c r="H92" s="4" t="s">
        <v>1068</v>
      </c>
      <c r="I92" s="4" t="s">
        <v>1068</v>
      </c>
      <c r="J92" s="6" t="str">
        <f>IFERROR(__xludf.DUMMYFUNCTION("TEXT(REGEXREPLACE(I92, ""[^0-9]"", """"), ""00000-0000000-0"")"),"33102-9339888-4")</f>
        <v>33102-9339888-4</v>
      </c>
      <c r="K92" s="7">
        <v>39324.0</v>
      </c>
      <c r="L92" s="4" t="s">
        <v>31</v>
      </c>
      <c r="M92" s="4" t="s">
        <v>1069</v>
      </c>
      <c r="N92" s="4" t="s">
        <v>33</v>
      </c>
      <c r="O92" s="8">
        <v>2011711.0</v>
      </c>
      <c r="P92" s="8">
        <v>96.0</v>
      </c>
      <c r="Q92" s="9">
        <v>91.667</v>
      </c>
      <c r="R92" s="4" t="s">
        <v>1070</v>
      </c>
      <c r="S92" s="4" t="s">
        <v>34</v>
      </c>
      <c r="T92" s="5" t="s">
        <v>1071</v>
      </c>
      <c r="U92" s="4" t="s">
        <v>1072</v>
      </c>
      <c r="V92" s="10" t="s">
        <v>1073</v>
      </c>
      <c r="W92" s="10" t="s">
        <v>1074</v>
      </c>
      <c r="X92" s="10" t="s">
        <v>1075</v>
      </c>
      <c r="Y92" s="10" t="s">
        <v>1076</v>
      </c>
      <c r="Z92" s="11" t="s">
        <v>40</v>
      </c>
      <c r="AA92" s="2"/>
      <c r="AB92" s="2"/>
      <c r="AC92" s="2"/>
      <c r="AD92" s="2"/>
      <c r="AE92" s="2"/>
      <c r="AF92" s="2"/>
    </row>
    <row r="93" ht="22.5" customHeight="1">
      <c r="A93" s="12">
        <v>46023.55521126157</v>
      </c>
      <c r="B93" s="13" t="s">
        <v>1077</v>
      </c>
      <c r="C93" s="13" t="s">
        <v>1078</v>
      </c>
      <c r="D93" s="13" t="s">
        <v>1079</v>
      </c>
      <c r="E93" s="13" t="str">
        <f t="shared" si="1"/>
        <v>+923492274735</v>
      </c>
      <c r="F93" s="13" t="s">
        <v>1080</v>
      </c>
      <c r="G93" s="13" t="s">
        <v>1081</v>
      </c>
      <c r="H93" s="13" t="s">
        <v>1082</v>
      </c>
      <c r="I93" s="13" t="s">
        <v>1082</v>
      </c>
      <c r="J93" s="15" t="str">
        <f>IFERROR(__xludf.DUMMYFUNCTION("TEXT(REGEXREPLACE(I93, ""[^0-9]"", """"), ""00000-0000000-0"")"),"33103-6930693-6")</f>
        <v>33103-6930693-6</v>
      </c>
      <c r="K93" s="16">
        <v>39401.0</v>
      </c>
      <c r="L93" s="13" t="s">
        <v>31</v>
      </c>
      <c r="M93" s="13" t="s">
        <v>1083</v>
      </c>
      <c r="N93" s="13" t="s">
        <v>33</v>
      </c>
      <c r="O93" s="17">
        <v>2010193.0</v>
      </c>
      <c r="P93" s="17">
        <v>11.0</v>
      </c>
      <c r="Q93" s="18">
        <v>95.0525</v>
      </c>
      <c r="R93" s="13" t="s">
        <v>1081</v>
      </c>
      <c r="S93" s="13" t="s">
        <v>50</v>
      </c>
      <c r="T93" s="13" t="s">
        <v>1084</v>
      </c>
      <c r="U93" s="13" t="s">
        <v>1085</v>
      </c>
      <c r="V93" s="19" t="s">
        <v>1086</v>
      </c>
      <c r="W93" s="19" t="s">
        <v>1087</v>
      </c>
      <c r="X93" s="19" t="s">
        <v>1088</v>
      </c>
      <c r="Y93" s="19" t="s">
        <v>1089</v>
      </c>
      <c r="Z93" s="20" t="s">
        <v>40</v>
      </c>
      <c r="AA93" s="2"/>
      <c r="AB93" s="2"/>
      <c r="AC93" s="2"/>
      <c r="AD93" s="2"/>
      <c r="AE93" s="2"/>
      <c r="AF93" s="2"/>
    </row>
    <row r="94" ht="22.5" customHeight="1">
      <c r="A94" s="3">
        <v>46023.56609930556</v>
      </c>
      <c r="B94" s="4" t="s">
        <v>1090</v>
      </c>
      <c r="C94" s="4" t="s">
        <v>1090</v>
      </c>
      <c r="D94" s="5" t="s">
        <v>1091</v>
      </c>
      <c r="E94" s="4" t="str">
        <f t="shared" si="1"/>
        <v>+923320679767</v>
      </c>
      <c r="F94" s="4" t="s">
        <v>1092</v>
      </c>
      <c r="G94" s="4" t="s">
        <v>1093</v>
      </c>
      <c r="H94" s="8">
        <v>3.3102254608E12</v>
      </c>
      <c r="I94" s="8">
        <v>3.3102254608E12</v>
      </c>
      <c r="J94" s="21" t="str">
        <f>IFERROR(__xludf.DUMMYFUNCTION("TEXT(REGEXREPLACE(I94, ""[^0-9]"", """"), ""00000-0000000-0"")"),"#VALUE!")</f>
        <v>#VALUE!</v>
      </c>
      <c r="K94" s="7">
        <v>39033.0</v>
      </c>
      <c r="L94" s="4" t="s">
        <v>31</v>
      </c>
      <c r="M94" s="4" t="s">
        <v>1094</v>
      </c>
      <c r="N94" s="4" t="s">
        <v>33</v>
      </c>
      <c r="O94" s="8">
        <v>2010517.0</v>
      </c>
      <c r="P94" s="8">
        <v>118.0</v>
      </c>
      <c r="Q94" s="9">
        <v>94.05</v>
      </c>
      <c r="R94" s="4" t="s">
        <v>1093</v>
      </c>
      <c r="S94" s="4" t="s">
        <v>34</v>
      </c>
      <c r="T94" s="5" t="s">
        <v>1095</v>
      </c>
      <c r="U94" s="4" t="s">
        <v>1096</v>
      </c>
      <c r="V94" s="10" t="s">
        <v>1097</v>
      </c>
      <c r="W94" s="10" t="s">
        <v>1098</v>
      </c>
      <c r="X94" s="10" t="s">
        <v>1099</v>
      </c>
      <c r="Y94" s="10" t="s">
        <v>1100</v>
      </c>
      <c r="Z94" s="11" t="s">
        <v>40</v>
      </c>
      <c r="AA94" s="2"/>
      <c r="AB94" s="2"/>
      <c r="AC94" s="2"/>
      <c r="AD94" s="2"/>
      <c r="AE94" s="2"/>
      <c r="AF94" s="2"/>
    </row>
    <row r="95" ht="22.5" customHeight="1">
      <c r="A95" s="12">
        <v>46023.63187215278</v>
      </c>
      <c r="B95" s="13" t="s">
        <v>1101</v>
      </c>
      <c r="C95" s="13" t="s">
        <v>1101</v>
      </c>
      <c r="D95" s="14" t="s">
        <v>1102</v>
      </c>
      <c r="E95" s="13" t="str">
        <f t="shared" si="1"/>
        <v>+923120153124</v>
      </c>
      <c r="F95" s="13" t="s">
        <v>1103</v>
      </c>
      <c r="G95" s="13" t="s">
        <v>1104</v>
      </c>
      <c r="H95" s="17">
        <v>3.310275903172E12</v>
      </c>
      <c r="I95" s="17">
        <v>3.310275903172E12</v>
      </c>
      <c r="J95" s="22" t="str">
        <f>IFERROR(__xludf.DUMMYFUNCTION("TEXT(REGEXREPLACE(I95, ""[^0-9]"", """"), ""00000-0000000-0"")"),"#VALUE!")</f>
        <v>#VALUE!</v>
      </c>
      <c r="K95" s="16">
        <v>39156.0</v>
      </c>
      <c r="L95" s="13" t="s">
        <v>31</v>
      </c>
      <c r="M95" s="13" t="s">
        <v>1105</v>
      </c>
      <c r="N95" s="13" t="s">
        <v>33</v>
      </c>
      <c r="O95" s="17">
        <v>2010623.0</v>
      </c>
      <c r="P95" s="17">
        <v>25.0</v>
      </c>
      <c r="Q95" s="18">
        <v>94.5833</v>
      </c>
      <c r="R95" s="13" t="s">
        <v>1106</v>
      </c>
      <c r="S95" s="13" t="s">
        <v>778</v>
      </c>
      <c r="T95" s="14" t="s">
        <v>1107</v>
      </c>
      <c r="U95" s="13" t="s">
        <v>1108</v>
      </c>
      <c r="V95" s="19" t="s">
        <v>1109</v>
      </c>
      <c r="W95" s="19" t="s">
        <v>1110</v>
      </c>
      <c r="X95" s="19" t="s">
        <v>1111</v>
      </c>
      <c r="Y95" s="19" t="s">
        <v>1112</v>
      </c>
      <c r="Z95" s="20" t="s">
        <v>40</v>
      </c>
      <c r="AA95" s="2"/>
      <c r="AB95" s="2"/>
      <c r="AC95" s="2"/>
      <c r="AD95" s="2"/>
      <c r="AE95" s="2"/>
      <c r="AF95" s="2"/>
    </row>
    <row r="96" ht="22.5" customHeight="1">
      <c r="A96" s="3">
        <v>46023.6321683912</v>
      </c>
      <c r="B96" s="4" t="s">
        <v>1113</v>
      </c>
      <c r="C96" s="4" t="s">
        <v>1113</v>
      </c>
      <c r="D96" s="5" t="s">
        <v>1114</v>
      </c>
      <c r="E96" s="4" t="str">
        <f t="shared" si="1"/>
        <v>+923371613244</v>
      </c>
      <c r="F96" s="4" t="s">
        <v>1115</v>
      </c>
      <c r="G96" s="4" t="s">
        <v>1116</v>
      </c>
      <c r="H96" s="8">
        <v>3.330111037175E12</v>
      </c>
      <c r="I96" s="8">
        <v>3.330111037175E12</v>
      </c>
      <c r="J96" s="21" t="str">
        <f>IFERROR(__xludf.DUMMYFUNCTION("TEXT(REGEXREPLACE(I96, ""[^0-9]"", """"), ""00000-0000000-0"")"),"#VALUE!")</f>
        <v>#VALUE!</v>
      </c>
      <c r="K96" s="7">
        <v>39643.0</v>
      </c>
      <c r="L96" s="4" t="s">
        <v>46</v>
      </c>
      <c r="M96" s="4" t="s">
        <v>1117</v>
      </c>
      <c r="N96" s="4" t="s">
        <v>33</v>
      </c>
      <c r="O96" s="8">
        <v>2070001.0</v>
      </c>
      <c r="P96" s="8">
        <v>190.0</v>
      </c>
      <c r="Q96" s="9">
        <v>93.9167</v>
      </c>
      <c r="R96" s="4" t="s">
        <v>1116</v>
      </c>
      <c r="S96" s="4" t="s">
        <v>34</v>
      </c>
      <c r="T96" s="5" t="s">
        <v>1118</v>
      </c>
      <c r="U96" s="4" t="s">
        <v>1119</v>
      </c>
      <c r="V96" s="10" t="s">
        <v>1120</v>
      </c>
      <c r="W96" s="10" t="s">
        <v>1121</v>
      </c>
      <c r="X96" s="10" t="s">
        <v>1122</v>
      </c>
      <c r="Y96" s="10" t="s">
        <v>1123</v>
      </c>
      <c r="Z96" s="11" t="s">
        <v>40</v>
      </c>
      <c r="AA96" s="2"/>
      <c r="AB96" s="2"/>
      <c r="AC96" s="2"/>
      <c r="AD96" s="2"/>
      <c r="AE96" s="2"/>
      <c r="AF96" s="2"/>
    </row>
    <row r="97" ht="22.5" customHeight="1">
      <c r="A97" s="12">
        <v>46023.63521690972</v>
      </c>
      <c r="B97" s="13" t="s">
        <v>1124</v>
      </c>
      <c r="C97" s="13" t="s">
        <v>1124</v>
      </c>
      <c r="D97" s="14" t="s">
        <v>1125</v>
      </c>
      <c r="E97" s="13" t="str">
        <f t="shared" si="1"/>
        <v>+923007707305</v>
      </c>
      <c r="F97" s="13" t="s">
        <v>1126</v>
      </c>
      <c r="G97" s="13" t="s">
        <v>1127</v>
      </c>
      <c r="H97" s="13" t="s">
        <v>1128</v>
      </c>
      <c r="I97" s="13" t="s">
        <v>1128</v>
      </c>
      <c r="J97" s="15" t="str">
        <f>IFERROR(__xludf.DUMMYFUNCTION("TEXT(REGEXREPLACE(I97, ""[^0-9]"", """"), ""00000-0000000-0"")"),"33102-5290362-8")</f>
        <v>33102-5290362-8</v>
      </c>
      <c r="K97" s="16">
        <v>39111.0</v>
      </c>
      <c r="L97" s="13" t="s">
        <v>31</v>
      </c>
      <c r="M97" s="13" t="s">
        <v>1129</v>
      </c>
      <c r="N97" s="13" t="s">
        <v>33</v>
      </c>
      <c r="O97" s="17">
        <v>2010572.0</v>
      </c>
      <c r="P97" s="14" t="s">
        <v>1130</v>
      </c>
      <c r="Q97" s="18">
        <v>0.951566</v>
      </c>
      <c r="R97" s="13" t="s">
        <v>1127</v>
      </c>
      <c r="S97" s="13" t="s">
        <v>34</v>
      </c>
      <c r="T97" s="14" t="s">
        <v>1131</v>
      </c>
      <c r="U97" s="13" t="s">
        <v>1132</v>
      </c>
      <c r="V97" s="19" t="s">
        <v>1133</v>
      </c>
      <c r="W97" s="19" t="s">
        <v>1134</v>
      </c>
      <c r="X97" s="19" t="s">
        <v>1135</v>
      </c>
      <c r="Y97" s="19" t="s">
        <v>1136</v>
      </c>
      <c r="Z97" s="20" t="s">
        <v>40</v>
      </c>
      <c r="AA97" s="2"/>
      <c r="AB97" s="2"/>
      <c r="AC97" s="2"/>
      <c r="AD97" s="2"/>
      <c r="AE97" s="2"/>
      <c r="AF97" s="2"/>
    </row>
    <row r="98" ht="22.5" customHeight="1">
      <c r="A98" s="3">
        <v>46023.63685177083</v>
      </c>
      <c r="B98" s="4" t="s">
        <v>1137</v>
      </c>
      <c r="C98" s="4" t="s">
        <v>1137</v>
      </c>
      <c r="D98" s="5" t="s">
        <v>1138</v>
      </c>
      <c r="E98" s="4" t="str">
        <f t="shared" si="1"/>
        <v>+923175097160</v>
      </c>
      <c r="F98" s="4" t="s">
        <v>1139</v>
      </c>
      <c r="G98" s="4" t="s">
        <v>1140</v>
      </c>
      <c r="H98" s="8">
        <v>3.310442680058E12</v>
      </c>
      <c r="I98" s="8">
        <v>3.310442680058E12</v>
      </c>
      <c r="J98" s="21" t="str">
        <f>IFERROR(__xludf.DUMMYFUNCTION("TEXT(REGEXREPLACE(I98, ""[^0-9]"", """"), ""00000-0000000-0"")"),"#VALUE!")</f>
        <v>#VALUE!</v>
      </c>
      <c r="K98" s="7">
        <v>39401.0</v>
      </c>
      <c r="L98" s="4" t="s">
        <v>31</v>
      </c>
      <c r="M98" s="4" t="s">
        <v>1141</v>
      </c>
      <c r="N98" s="4" t="s">
        <v>33</v>
      </c>
      <c r="O98" s="8">
        <v>2010393.0</v>
      </c>
      <c r="P98" s="8">
        <v>91.0</v>
      </c>
      <c r="Q98" s="9">
        <v>94.1394</v>
      </c>
      <c r="R98" s="4" t="s">
        <v>1140</v>
      </c>
      <c r="S98" s="4" t="s">
        <v>34</v>
      </c>
      <c r="T98" s="5" t="s">
        <v>1142</v>
      </c>
      <c r="U98" s="4" t="s">
        <v>1143</v>
      </c>
      <c r="V98" s="10" t="s">
        <v>1144</v>
      </c>
      <c r="W98" s="10" t="s">
        <v>1145</v>
      </c>
      <c r="X98" s="10" t="s">
        <v>1146</v>
      </c>
      <c r="Y98" s="10" t="s">
        <v>1147</v>
      </c>
      <c r="Z98" s="11" t="s">
        <v>40</v>
      </c>
      <c r="AA98" s="2"/>
      <c r="AB98" s="2"/>
      <c r="AC98" s="2"/>
      <c r="AD98" s="2"/>
      <c r="AE98" s="2"/>
      <c r="AF98" s="2"/>
    </row>
    <row r="99" ht="22.5" customHeight="1">
      <c r="A99" s="12">
        <v>46023.63793672454</v>
      </c>
      <c r="B99" s="13" t="s">
        <v>1148</v>
      </c>
      <c r="C99" s="13" t="s">
        <v>1148</v>
      </c>
      <c r="D99" s="14" t="s">
        <v>1149</v>
      </c>
      <c r="E99" s="13" t="str">
        <f t="shared" si="1"/>
        <v>+923339693800</v>
      </c>
      <c r="F99" s="13" t="s">
        <v>1150</v>
      </c>
      <c r="G99" s="13" t="s">
        <v>29</v>
      </c>
      <c r="H99" s="17">
        <v>3.3105065838E12</v>
      </c>
      <c r="I99" s="17">
        <v>3.3105065838E12</v>
      </c>
      <c r="J99" s="22" t="str">
        <f>IFERROR(__xludf.DUMMYFUNCTION("TEXT(REGEXREPLACE(I99, ""[^0-9]"", """"), ""00000-0000000-0"")"),"#VALUE!")</f>
        <v>#VALUE!</v>
      </c>
      <c r="K99" s="16">
        <v>38052.0</v>
      </c>
      <c r="L99" s="13" t="s">
        <v>31</v>
      </c>
      <c r="M99" s="13" t="s">
        <v>1151</v>
      </c>
      <c r="N99" s="13" t="s">
        <v>33</v>
      </c>
      <c r="O99" s="17">
        <v>2012355.0</v>
      </c>
      <c r="P99" s="17">
        <v>36.0</v>
      </c>
      <c r="Q99" s="18">
        <v>0.9441</v>
      </c>
      <c r="R99" s="13" t="s">
        <v>29</v>
      </c>
      <c r="S99" s="13" t="s">
        <v>34</v>
      </c>
      <c r="T99" s="14" t="s">
        <v>1152</v>
      </c>
      <c r="U99" s="13" t="s">
        <v>1153</v>
      </c>
      <c r="V99" s="19" t="s">
        <v>1154</v>
      </c>
      <c r="W99" s="19" t="s">
        <v>1155</v>
      </c>
      <c r="X99" s="19" t="s">
        <v>1156</v>
      </c>
      <c r="Y99" s="19" t="s">
        <v>1157</v>
      </c>
      <c r="Z99" s="20" t="s">
        <v>40</v>
      </c>
      <c r="AA99" s="2"/>
      <c r="AB99" s="2"/>
      <c r="AC99" s="2"/>
      <c r="AD99" s="2"/>
      <c r="AE99" s="2"/>
      <c r="AF99" s="2"/>
    </row>
    <row r="100" ht="22.5" customHeight="1">
      <c r="A100" s="3">
        <v>46023.643677002314</v>
      </c>
      <c r="B100" s="4" t="s">
        <v>1158</v>
      </c>
      <c r="C100" s="4" t="s">
        <v>1158</v>
      </c>
      <c r="D100" s="5" t="s">
        <v>1159</v>
      </c>
      <c r="E100" s="4" t="str">
        <f t="shared" si="1"/>
        <v>+923305581322</v>
      </c>
      <c r="F100" s="4" t="s">
        <v>1160</v>
      </c>
      <c r="G100" s="4" t="s">
        <v>476</v>
      </c>
      <c r="H100" s="4" t="s">
        <v>1161</v>
      </c>
      <c r="I100" s="4" t="s">
        <v>1161</v>
      </c>
      <c r="J100" s="6" t="str">
        <f>IFERROR(__xludf.DUMMYFUNCTION("TEXT(REGEXREPLACE(I100, ""[^0-9]"", """"), ""00000-0000000-0"")"),"37405-4346562-7")</f>
        <v>37405-4346562-7</v>
      </c>
      <c r="K100" s="7">
        <v>38791.0</v>
      </c>
      <c r="L100" s="4" t="s">
        <v>46</v>
      </c>
      <c r="M100" s="4" t="s">
        <v>1162</v>
      </c>
      <c r="N100" s="4" t="s">
        <v>33</v>
      </c>
      <c r="O100" s="8">
        <v>3000306.0</v>
      </c>
      <c r="P100" s="8">
        <v>196.0</v>
      </c>
      <c r="Q100" s="9">
        <v>93.9045</v>
      </c>
      <c r="R100" s="4" t="s">
        <v>476</v>
      </c>
      <c r="S100" s="4" t="s">
        <v>50</v>
      </c>
      <c r="T100" s="5" t="s">
        <v>1163</v>
      </c>
      <c r="U100" s="4" t="s">
        <v>1164</v>
      </c>
      <c r="V100" s="10" t="s">
        <v>1165</v>
      </c>
      <c r="W100" s="10" t="s">
        <v>1166</v>
      </c>
      <c r="X100" s="10" t="s">
        <v>1167</v>
      </c>
      <c r="Y100" s="10" t="s">
        <v>1168</v>
      </c>
      <c r="Z100" s="11" t="s">
        <v>40</v>
      </c>
      <c r="AA100" s="2"/>
      <c r="AB100" s="2"/>
      <c r="AC100" s="2"/>
      <c r="AD100" s="2"/>
      <c r="AE100" s="2"/>
      <c r="AF100" s="2"/>
    </row>
    <row r="101" ht="22.5" customHeight="1">
      <c r="A101" s="12">
        <v>46023.64570893519</v>
      </c>
      <c r="B101" s="13" t="s">
        <v>1169</v>
      </c>
      <c r="C101" s="13" t="s">
        <v>1169</v>
      </c>
      <c r="D101" s="13" t="s">
        <v>1170</v>
      </c>
      <c r="E101" s="13" t="str">
        <f t="shared" si="1"/>
        <v>+923297657701</v>
      </c>
      <c r="F101" s="13" t="s">
        <v>1171</v>
      </c>
      <c r="G101" s="13" t="s">
        <v>1172</v>
      </c>
      <c r="H101" s="13" t="s">
        <v>1173</v>
      </c>
      <c r="I101" s="13" t="s">
        <v>1173</v>
      </c>
      <c r="J101" s="15" t="str">
        <f>IFERROR(__xludf.DUMMYFUNCTION("TEXT(REGEXREPLACE(I101, ""[^0-9]"", """"), ""00000-0000000-0"")"),"36501-6531836-5")</f>
        <v>36501-6531836-5</v>
      </c>
      <c r="K101" s="16">
        <v>37858.0</v>
      </c>
      <c r="L101" s="13" t="s">
        <v>46</v>
      </c>
      <c r="M101" s="13" t="s">
        <v>1174</v>
      </c>
      <c r="N101" s="13" t="s">
        <v>33</v>
      </c>
      <c r="O101" s="17">
        <v>9073241.0</v>
      </c>
      <c r="P101" s="17">
        <v>233.0</v>
      </c>
      <c r="Q101" s="18">
        <v>93.8636</v>
      </c>
      <c r="R101" s="13" t="s">
        <v>1172</v>
      </c>
      <c r="S101" s="13" t="s">
        <v>50</v>
      </c>
      <c r="T101" s="13" t="s">
        <v>1175</v>
      </c>
      <c r="U101" s="13" t="s">
        <v>1169</v>
      </c>
      <c r="V101" s="19" t="s">
        <v>1176</v>
      </c>
      <c r="W101" s="19" t="s">
        <v>1177</v>
      </c>
      <c r="X101" s="19" t="s">
        <v>1178</v>
      </c>
      <c r="Y101" s="19" t="s">
        <v>1179</v>
      </c>
      <c r="Z101" s="20" t="s">
        <v>40</v>
      </c>
      <c r="AA101" s="2"/>
      <c r="AB101" s="2"/>
      <c r="AC101" s="2"/>
      <c r="AD101" s="2"/>
      <c r="AE101" s="2"/>
      <c r="AF101" s="2"/>
    </row>
    <row r="102" ht="22.5" customHeight="1">
      <c r="A102" s="3">
        <v>46023.64762203704</v>
      </c>
      <c r="B102" s="4" t="s">
        <v>1180</v>
      </c>
      <c r="C102" s="4" t="s">
        <v>1180</v>
      </c>
      <c r="D102" s="5" t="s">
        <v>1181</v>
      </c>
      <c r="E102" s="4" t="str">
        <f t="shared" si="1"/>
        <v>+923294741890</v>
      </c>
      <c r="F102" s="4" t="s">
        <v>1182</v>
      </c>
      <c r="G102" s="4" t="s">
        <v>1183</v>
      </c>
      <c r="H102" s="8">
        <v>3.610357282436E12</v>
      </c>
      <c r="I102" s="8">
        <v>3.610357282436E12</v>
      </c>
      <c r="J102" s="21" t="str">
        <f>IFERROR(__xludf.DUMMYFUNCTION("TEXT(REGEXREPLACE(I102, ""[^0-9]"", """"), ""00000-0000000-0"")"),"#VALUE!")</f>
        <v>#VALUE!</v>
      </c>
      <c r="K102" s="7">
        <v>38632.0</v>
      </c>
      <c r="L102" s="4" t="s">
        <v>31</v>
      </c>
      <c r="M102" s="4" t="s">
        <v>1184</v>
      </c>
      <c r="N102" s="4" t="s">
        <v>48</v>
      </c>
      <c r="O102" s="8">
        <v>9010843.0</v>
      </c>
      <c r="P102" s="8">
        <v>98.0</v>
      </c>
      <c r="Q102" s="9">
        <v>94.1182</v>
      </c>
      <c r="R102" s="4" t="s">
        <v>1183</v>
      </c>
      <c r="S102" s="4" t="s">
        <v>1185</v>
      </c>
      <c r="T102" s="5" t="s">
        <v>1186</v>
      </c>
      <c r="U102" s="4" t="s">
        <v>1180</v>
      </c>
      <c r="V102" s="10" t="s">
        <v>1187</v>
      </c>
      <c r="W102" s="10" t="s">
        <v>1188</v>
      </c>
      <c r="X102" s="10" t="s">
        <v>1189</v>
      </c>
      <c r="Y102" s="10" t="s">
        <v>1190</v>
      </c>
      <c r="Z102" s="11" t="s">
        <v>40</v>
      </c>
      <c r="AA102" s="2"/>
      <c r="AB102" s="2"/>
      <c r="AC102" s="2"/>
      <c r="AD102" s="2"/>
      <c r="AE102" s="2"/>
      <c r="AF102" s="2"/>
    </row>
    <row r="103" ht="22.5" customHeight="1">
      <c r="A103" s="12">
        <v>46023.649764699076</v>
      </c>
      <c r="B103" s="13" t="s">
        <v>1191</v>
      </c>
      <c r="C103" s="13" t="s">
        <v>1191</v>
      </c>
      <c r="D103" s="14" t="s">
        <v>1192</v>
      </c>
      <c r="E103" s="13" t="str">
        <f t="shared" si="1"/>
        <v>+923107541135</v>
      </c>
      <c r="F103" s="13" t="s">
        <v>1193</v>
      </c>
      <c r="G103" s="13" t="s">
        <v>1194</v>
      </c>
      <c r="H103" s="13" t="s">
        <v>1195</v>
      </c>
      <c r="I103" s="13" t="s">
        <v>1195</v>
      </c>
      <c r="J103" s="15" t="str">
        <f>IFERROR(__xludf.DUMMYFUNCTION("TEXT(REGEXREPLACE(I103, ""[^0-9]"", """"), ""00000-0000000-0"")"),"33102-8167565-5")</f>
        <v>33102-8167565-5</v>
      </c>
      <c r="K103" s="16">
        <v>38609.0</v>
      </c>
      <c r="L103" s="13" t="s">
        <v>46</v>
      </c>
      <c r="M103" s="13" t="s">
        <v>1196</v>
      </c>
      <c r="N103" s="13" t="s">
        <v>33</v>
      </c>
      <c r="O103" s="13" t="s">
        <v>1197</v>
      </c>
      <c r="P103" s="17">
        <v>111.0</v>
      </c>
      <c r="Q103" s="18">
        <v>94.0864</v>
      </c>
      <c r="R103" s="13" t="s">
        <v>1194</v>
      </c>
      <c r="S103" s="13" t="s">
        <v>34</v>
      </c>
      <c r="T103" s="14" t="s">
        <v>1198</v>
      </c>
      <c r="U103" s="13" t="s">
        <v>1199</v>
      </c>
      <c r="V103" s="19" t="s">
        <v>1200</v>
      </c>
      <c r="W103" s="19" t="s">
        <v>1201</v>
      </c>
      <c r="X103" s="19" t="s">
        <v>1202</v>
      </c>
      <c r="Y103" s="19" t="s">
        <v>1203</v>
      </c>
      <c r="Z103" s="20" t="s">
        <v>40</v>
      </c>
      <c r="AA103" s="2"/>
      <c r="AB103" s="2"/>
      <c r="AC103" s="2"/>
      <c r="AD103" s="2"/>
      <c r="AE103" s="2"/>
      <c r="AF103" s="2"/>
    </row>
    <row r="104" ht="22.5" customHeight="1">
      <c r="A104" s="3">
        <v>46023.65029070602</v>
      </c>
      <c r="B104" s="4" t="s">
        <v>697</v>
      </c>
      <c r="C104" s="4" t="s">
        <v>697</v>
      </c>
      <c r="D104" s="5" t="s">
        <v>698</v>
      </c>
      <c r="E104" s="4" t="str">
        <f t="shared" si="1"/>
        <v>+923256999297</v>
      </c>
      <c r="F104" s="4" t="s">
        <v>299</v>
      </c>
      <c r="G104" s="4" t="s">
        <v>699</v>
      </c>
      <c r="H104" s="4" t="s">
        <v>700</v>
      </c>
      <c r="I104" s="4" t="s">
        <v>700</v>
      </c>
      <c r="J104" s="6" t="str">
        <f>IFERROR(__xludf.DUMMYFUNCTION("TEXT(REGEXREPLACE(I104, ""[^0-9]"", """"), ""00000-0000000-0"")"),"36601-5389288-1")</f>
        <v>36601-5389288-1</v>
      </c>
      <c r="K104" s="7">
        <v>38952.0</v>
      </c>
      <c r="L104" s="4" t="s">
        <v>46</v>
      </c>
      <c r="M104" s="4" t="s">
        <v>701</v>
      </c>
      <c r="N104" s="4" t="s">
        <v>33</v>
      </c>
      <c r="O104" s="8">
        <v>8070124.0</v>
      </c>
      <c r="P104" s="8">
        <v>228.0</v>
      </c>
      <c r="Q104" s="9">
        <v>93.8682</v>
      </c>
      <c r="R104" s="4" t="s">
        <v>699</v>
      </c>
      <c r="S104" s="4" t="s">
        <v>34</v>
      </c>
      <c r="T104" s="5" t="s">
        <v>702</v>
      </c>
      <c r="U104" s="4" t="s">
        <v>703</v>
      </c>
      <c r="V104" s="10" t="s">
        <v>1204</v>
      </c>
      <c r="W104" s="10" t="s">
        <v>1205</v>
      </c>
      <c r="X104" s="10" t="s">
        <v>1206</v>
      </c>
      <c r="Y104" s="10" t="s">
        <v>1207</v>
      </c>
      <c r="Z104" s="11" t="s">
        <v>40</v>
      </c>
      <c r="AA104" s="2"/>
      <c r="AB104" s="2"/>
      <c r="AC104" s="2"/>
      <c r="AD104" s="2"/>
      <c r="AE104" s="2"/>
      <c r="AF104" s="2"/>
    </row>
    <row r="105" ht="22.5" customHeight="1">
      <c r="A105" s="12">
        <v>46023.650490659726</v>
      </c>
      <c r="B105" s="13" t="s">
        <v>1208</v>
      </c>
      <c r="C105" s="13" t="s">
        <v>1208</v>
      </c>
      <c r="D105" s="14" t="s">
        <v>1209</v>
      </c>
      <c r="E105" s="13" t="str">
        <f t="shared" si="1"/>
        <v>+923222222454</v>
      </c>
      <c r="F105" s="13" t="s">
        <v>1210</v>
      </c>
      <c r="G105" s="13" t="s">
        <v>1211</v>
      </c>
      <c r="H105" s="13" t="s">
        <v>1212</v>
      </c>
      <c r="I105" s="13" t="s">
        <v>1212</v>
      </c>
      <c r="J105" s="15" t="str">
        <f>IFERROR(__xludf.DUMMYFUNCTION("TEXT(REGEXREPLACE(I105, ""[^0-9]"", """"), ""00000-0000000-0"")"),"33102-5290655-3")</f>
        <v>33102-5290655-3</v>
      </c>
      <c r="K105" s="16">
        <v>39238.0</v>
      </c>
      <c r="L105" s="13" t="s">
        <v>46</v>
      </c>
      <c r="M105" s="13" t="s">
        <v>1213</v>
      </c>
      <c r="N105" s="13" t="s">
        <v>33</v>
      </c>
      <c r="O105" s="17">
        <v>2070760.0</v>
      </c>
      <c r="P105" s="17">
        <v>79.0</v>
      </c>
      <c r="Q105" s="18">
        <v>94.5</v>
      </c>
      <c r="R105" s="13" t="s">
        <v>1211</v>
      </c>
      <c r="S105" s="13" t="s">
        <v>34</v>
      </c>
      <c r="T105" s="14" t="s">
        <v>1214</v>
      </c>
      <c r="U105" s="13" t="s">
        <v>1215</v>
      </c>
      <c r="V105" s="19" t="s">
        <v>1216</v>
      </c>
      <c r="W105" s="19" t="s">
        <v>1217</v>
      </c>
      <c r="X105" s="19" t="s">
        <v>1218</v>
      </c>
      <c r="Y105" s="19" t="s">
        <v>1219</v>
      </c>
      <c r="Z105" s="20" t="s">
        <v>40</v>
      </c>
      <c r="AA105" s="2"/>
      <c r="AB105" s="2"/>
      <c r="AC105" s="2"/>
      <c r="AD105" s="2"/>
      <c r="AE105" s="2"/>
      <c r="AF105" s="2"/>
    </row>
    <row r="106" ht="22.5" customHeight="1">
      <c r="A106" s="3">
        <v>46023.65058915509</v>
      </c>
      <c r="B106" s="4" t="s">
        <v>1220</v>
      </c>
      <c r="C106" s="4" t="s">
        <v>1220</v>
      </c>
      <c r="D106" s="5" t="s">
        <v>1221</v>
      </c>
      <c r="E106" s="4" t="str">
        <f t="shared" si="1"/>
        <v>+923422349156</v>
      </c>
      <c r="F106" s="4" t="s">
        <v>323</v>
      </c>
      <c r="G106" s="4" t="s">
        <v>1222</v>
      </c>
      <c r="H106" s="8">
        <v>3.810197948387E12</v>
      </c>
      <c r="I106" s="8">
        <v>3.810197948387E12</v>
      </c>
      <c r="J106" s="21" t="str">
        <f>IFERROR(__xludf.DUMMYFUNCTION("TEXT(REGEXREPLACE(I106, ""[^0-9]"", """"), ""00000-0000000-0"")"),"#VALUE!")</f>
        <v>#VALUE!</v>
      </c>
      <c r="K106" s="7">
        <v>38413.0</v>
      </c>
      <c r="L106" s="4" t="s">
        <v>46</v>
      </c>
      <c r="M106" s="4" t="s">
        <v>1223</v>
      </c>
      <c r="N106" s="4" t="s">
        <v>383</v>
      </c>
      <c r="O106" s="8">
        <v>9071999.0</v>
      </c>
      <c r="P106" s="8">
        <v>234.0</v>
      </c>
      <c r="Q106" s="9">
        <v>93.8636</v>
      </c>
      <c r="R106" s="4" t="s">
        <v>1224</v>
      </c>
      <c r="S106" s="4" t="s">
        <v>690</v>
      </c>
      <c r="T106" s="5" t="s">
        <v>1225</v>
      </c>
      <c r="U106" s="4" t="s">
        <v>1226</v>
      </c>
      <c r="V106" s="10" t="s">
        <v>1227</v>
      </c>
      <c r="W106" s="10" t="s">
        <v>1228</v>
      </c>
      <c r="X106" s="10" t="s">
        <v>1229</v>
      </c>
      <c r="Y106" s="10" t="s">
        <v>1230</v>
      </c>
      <c r="Z106" s="11" t="s">
        <v>40</v>
      </c>
      <c r="AA106" s="2"/>
      <c r="AB106" s="2"/>
      <c r="AC106" s="2"/>
      <c r="AD106" s="2"/>
      <c r="AE106" s="2"/>
      <c r="AF106" s="2"/>
    </row>
    <row r="107" ht="22.5" customHeight="1">
      <c r="A107" s="12">
        <v>46023.675092523146</v>
      </c>
      <c r="B107" s="13" t="s">
        <v>1231</v>
      </c>
      <c r="C107" s="13" t="s">
        <v>1231</v>
      </c>
      <c r="D107" s="14" t="s">
        <v>1232</v>
      </c>
      <c r="E107" s="13" t="str">
        <f t="shared" si="1"/>
        <v>+923276885181</v>
      </c>
      <c r="F107" s="17">
        <v>3.530135530178E12</v>
      </c>
      <c r="G107" s="13" t="s">
        <v>1233</v>
      </c>
      <c r="H107" s="17">
        <v>3.530119276571E12</v>
      </c>
      <c r="I107" s="17">
        <v>3.530119276571E12</v>
      </c>
      <c r="J107" s="22" t="str">
        <f>IFERROR(__xludf.DUMMYFUNCTION("TEXT(REGEXREPLACE(I107, ""[^0-9]"", """"), ""00000-0000000-0"")"),"#VALUE!")</f>
        <v>#VALUE!</v>
      </c>
      <c r="K107" s="16">
        <v>38545.0</v>
      </c>
      <c r="L107" s="13" t="s">
        <v>31</v>
      </c>
      <c r="M107" s="13" t="s">
        <v>1234</v>
      </c>
      <c r="N107" s="13" t="s">
        <v>93</v>
      </c>
      <c r="O107" s="17">
        <v>8011666.0</v>
      </c>
      <c r="P107" s="17">
        <v>123.0</v>
      </c>
      <c r="Q107" s="18">
        <v>94.03</v>
      </c>
      <c r="R107" s="13" t="s">
        <v>1235</v>
      </c>
      <c r="S107" s="13" t="s">
        <v>50</v>
      </c>
      <c r="T107" s="14" t="s">
        <v>1236</v>
      </c>
      <c r="U107" s="13" t="s">
        <v>1231</v>
      </c>
      <c r="V107" s="19" t="s">
        <v>1237</v>
      </c>
      <c r="W107" s="19" t="s">
        <v>1238</v>
      </c>
      <c r="X107" s="19" t="s">
        <v>1239</v>
      </c>
      <c r="Y107" s="19" t="s">
        <v>1240</v>
      </c>
      <c r="Z107" s="20" t="s">
        <v>40</v>
      </c>
      <c r="AA107" s="2"/>
      <c r="AB107" s="2"/>
      <c r="AC107" s="2"/>
      <c r="AD107" s="2"/>
      <c r="AE107" s="2"/>
      <c r="AF107" s="2"/>
    </row>
    <row r="108" ht="22.5" customHeight="1">
      <c r="A108" s="3">
        <v>46023.68476089121</v>
      </c>
      <c r="B108" s="4" t="s">
        <v>1241</v>
      </c>
      <c r="C108" s="4" t="s">
        <v>1241</v>
      </c>
      <c r="D108" s="5" t="s">
        <v>1242</v>
      </c>
      <c r="E108" s="4" t="str">
        <f t="shared" si="1"/>
        <v>+923117279449</v>
      </c>
      <c r="F108" s="4" t="s">
        <v>1243</v>
      </c>
      <c r="G108" s="4" t="s">
        <v>1244</v>
      </c>
      <c r="H108" s="8">
        <v>3.610484655478E12</v>
      </c>
      <c r="I108" s="8">
        <v>3.610484655478E12</v>
      </c>
      <c r="J108" s="21" t="str">
        <f>IFERROR(__xludf.DUMMYFUNCTION("TEXT(REGEXREPLACE(I108, ""[^0-9]"", """"), ""00000-0000000-0"")"),"#VALUE!")</f>
        <v>#VALUE!</v>
      </c>
      <c r="K108" s="7">
        <v>38201.0</v>
      </c>
      <c r="L108" s="4" t="s">
        <v>31</v>
      </c>
      <c r="M108" s="4" t="s">
        <v>1245</v>
      </c>
      <c r="N108" s="4" t="s">
        <v>93</v>
      </c>
      <c r="O108" s="8">
        <v>9012855.0</v>
      </c>
      <c r="P108" s="8">
        <v>270.0</v>
      </c>
      <c r="Q108" s="9">
        <v>93.82</v>
      </c>
      <c r="R108" s="4" t="s">
        <v>1246</v>
      </c>
      <c r="S108" s="4" t="s">
        <v>95</v>
      </c>
      <c r="T108" s="5" t="s">
        <v>1247</v>
      </c>
      <c r="U108" s="4" t="s">
        <v>1248</v>
      </c>
      <c r="V108" s="10" t="s">
        <v>1249</v>
      </c>
      <c r="W108" s="10" t="s">
        <v>1250</v>
      </c>
      <c r="X108" s="10" t="s">
        <v>1251</v>
      </c>
      <c r="Y108" s="10" t="s">
        <v>1252</v>
      </c>
      <c r="Z108" s="11" t="s">
        <v>40</v>
      </c>
      <c r="AA108" s="2"/>
      <c r="AB108" s="2"/>
      <c r="AC108" s="2"/>
      <c r="AD108" s="2"/>
      <c r="AE108" s="2"/>
      <c r="AF108" s="2"/>
    </row>
    <row r="109" ht="22.5" customHeight="1">
      <c r="A109" s="12">
        <v>46023.68618859954</v>
      </c>
      <c r="B109" s="13" t="s">
        <v>1253</v>
      </c>
      <c r="C109" s="13" t="s">
        <v>1253</v>
      </c>
      <c r="D109" s="14" t="s">
        <v>1254</v>
      </c>
      <c r="E109" s="13" t="str">
        <f t="shared" si="1"/>
        <v>+923232123426</v>
      </c>
      <c r="F109" s="13" t="s">
        <v>1255</v>
      </c>
      <c r="G109" s="13" t="s">
        <v>1256</v>
      </c>
      <c r="H109" s="13" t="s">
        <v>1257</v>
      </c>
      <c r="I109" s="13" t="s">
        <v>1257</v>
      </c>
      <c r="J109" s="15" t="str">
        <f>IFERROR(__xludf.DUMMYFUNCTION("TEXT(REGEXREPLACE(I109, ""[^0-9]"", """"), ""00000-0000000-0"")"),"33202-6514295-8")</f>
        <v>33202-6514295-8</v>
      </c>
      <c r="K109" s="16">
        <v>39368.0</v>
      </c>
      <c r="L109" s="13" t="s">
        <v>31</v>
      </c>
      <c r="M109" s="13" t="s">
        <v>1258</v>
      </c>
      <c r="N109" s="13" t="s">
        <v>33</v>
      </c>
      <c r="O109" s="17">
        <v>2011447.0</v>
      </c>
      <c r="P109" s="17">
        <v>151.0</v>
      </c>
      <c r="Q109" s="18">
        <v>93.98</v>
      </c>
      <c r="R109" s="13" t="s">
        <v>1259</v>
      </c>
      <c r="S109" s="13" t="s">
        <v>50</v>
      </c>
      <c r="T109" s="14" t="s">
        <v>1260</v>
      </c>
      <c r="U109" s="13" t="s">
        <v>1261</v>
      </c>
      <c r="V109" s="19" t="s">
        <v>1262</v>
      </c>
      <c r="W109" s="19" t="s">
        <v>1263</v>
      </c>
      <c r="X109" s="19" t="s">
        <v>1264</v>
      </c>
      <c r="Y109" s="19" t="s">
        <v>1265</v>
      </c>
      <c r="Z109" s="20" t="s">
        <v>40</v>
      </c>
      <c r="AA109" s="2"/>
      <c r="AB109" s="2"/>
      <c r="AC109" s="2"/>
      <c r="AD109" s="2"/>
      <c r="AE109" s="2"/>
      <c r="AF109" s="2"/>
    </row>
    <row r="110" ht="22.5" customHeight="1">
      <c r="A110" s="3">
        <v>46023.69169523148</v>
      </c>
      <c r="B110" s="4" t="s">
        <v>1266</v>
      </c>
      <c r="C110" s="4" t="s">
        <v>1266</v>
      </c>
      <c r="D110" s="5" t="s">
        <v>1267</v>
      </c>
      <c r="E110" s="4" t="str">
        <f t="shared" si="1"/>
        <v>+923057770911</v>
      </c>
      <c r="F110" s="4" t="s">
        <v>1268</v>
      </c>
      <c r="G110" s="4" t="s">
        <v>1269</v>
      </c>
      <c r="H110" s="8">
        <v>3.66031352211E12</v>
      </c>
      <c r="I110" s="8">
        <v>3.66031352211E12</v>
      </c>
      <c r="J110" s="21" t="str">
        <f>IFERROR(__xludf.DUMMYFUNCTION("TEXT(REGEXREPLACE(I110, ""[^0-9]"", """"), ""00000-0000000-0"")"),"#VALUE!")</f>
        <v>#VALUE!</v>
      </c>
      <c r="K110" s="7">
        <v>39448.0</v>
      </c>
      <c r="L110" s="4" t="s">
        <v>31</v>
      </c>
      <c r="M110" s="4" t="s">
        <v>1270</v>
      </c>
      <c r="N110" s="4" t="s">
        <v>33</v>
      </c>
      <c r="O110" s="8">
        <v>8011039.0</v>
      </c>
      <c r="P110" s="8">
        <v>244.0</v>
      </c>
      <c r="Q110" s="9">
        <v>93.85</v>
      </c>
      <c r="R110" s="4" t="s">
        <v>1271</v>
      </c>
      <c r="S110" s="4" t="s">
        <v>34</v>
      </c>
      <c r="T110" s="5" t="s">
        <v>1272</v>
      </c>
      <c r="U110" s="4" t="s">
        <v>1273</v>
      </c>
      <c r="V110" s="10" t="s">
        <v>1274</v>
      </c>
      <c r="W110" s="10" t="s">
        <v>1275</v>
      </c>
      <c r="X110" s="10" t="s">
        <v>1276</v>
      </c>
      <c r="Y110" s="10" t="s">
        <v>1277</v>
      </c>
      <c r="Z110" s="11" t="s">
        <v>40</v>
      </c>
      <c r="AA110" s="2"/>
      <c r="AB110" s="2"/>
      <c r="AC110" s="2"/>
      <c r="AD110" s="2"/>
      <c r="AE110" s="2"/>
      <c r="AF110" s="2"/>
    </row>
    <row r="111" ht="22.5" customHeight="1">
      <c r="A111" s="12">
        <v>46023.695384189814</v>
      </c>
      <c r="B111" s="13" t="s">
        <v>1278</v>
      </c>
      <c r="C111" s="13" t="s">
        <v>1278</v>
      </c>
      <c r="D111" s="13" t="s">
        <v>1279</v>
      </c>
      <c r="E111" s="13" t="str">
        <f t="shared" si="1"/>
        <v>+923071841348</v>
      </c>
      <c r="F111" s="13" t="s">
        <v>1280</v>
      </c>
      <c r="G111" s="13" t="s">
        <v>1281</v>
      </c>
      <c r="H111" s="13" t="s">
        <v>1282</v>
      </c>
      <c r="I111" s="13" t="s">
        <v>1282</v>
      </c>
      <c r="J111" s="15" t="str">
        <f>IFERROR(__xludf.DUMMYFUNCTION("TEXT(REGEXREPLACE(I111, ""[^0-9]"", """"), ""00000-0000000-0"")"),"33301-1879855-0")</f>
        <v>33301-1879855-0</v>
      </c>
      <c r="K111" s="16">
        <v>39074.0</v>
      </c>
      <c r="L111" s="13" t="s">
        <v>31</v>
      </c>
      <c r="M111" s="13" t="s">
        <v>1283</v>
      </c>
      <c r="N111" s="13" t="s">
        <v>48</v>
      </c>
      <c r="O111" s="17">
        <v>2013352.0</v>
      </c>
      <c r="P111" s="17">
        <v>222.0</v>
      </c>
      <c r="Q111" s="18">
        <v>93.8737</v>
      </c>
      <c r="R111" s="13" t="s">
        <v>1284</v>
      </c>
      <c r="S111" s="13" t="s">
        <v>778</v>
      </c>
      <c r="T111" s="13" t="s">
        <v>1285</v>
      </c>
      <c r="U111" s="13" t="s">
        <v>1286</v>
      </c>
      <c r="V111" s="19" t="s">
        <v>1287</v>
      </c>
      <c r="W111" s="19" t="s">
        <v>1288</v>
      </c>
      <c r="X111" s="19" t="s">
        <v>1289</v>
      </c>
      <c r="Y111" s="19" t="s">
        <v>1290</v>
      </c>
      <c r="Z111" s="20" t="s">
        <v>40</v>
      </c>
      <c r="AA111" s="2"/>
      <c r="AB111" s="2"/>
      <c r="AC111" s="2"/>
      <c r="AD111" s="2"/>
      <c r="AE111" s="2"/>
      <c r="AF111" s="2"/>
    </row>
    <row r="112" ht="22.5" customHeight="1">
      <c r="A112" s="3">
        <v>46023.69816900463</v>
      </c>
      <c r="B112" s="4" t="s">
        <v>1291</v>
      </c>
      <c r="C112" s="4" t="s">
        <v>1292</v>
      </c>
      <c r="D112" s="5" t="s">
        <v>1293</v>
      </c>
      <c r="E112" s="4" t="str">
        <f t="shared" si="1"/>
        <v>+923151664518</v>
      </c>
      <c r="F112" s="4" t="s">
        <v>1294</v>
      </c>
      <c r="G112" s="4" t="s">
        <v>1295</v>
      </c>
      <c r="H112" s="8">
        <v>3.230315525382E12</v>
      </c>
      <c r="I112" s="8">
        <v>3.230315525382E12</v>
      </c>
      <c r="J112" s="21" t="str">
        <f>IFERROR(__xludf.DUMMYFUNCTION("TEXT(REGEXREPLACE(I112, ""[^0-9]"", """"), ""00000-0000000-0"")"),"#VALUE!")</f>
        <v>#VALUE!</v>
      </c>
      <c r="K112" s="7">
        <v>38701.0</v>
      </c>
      <c r="L112" s="4" t="s">
        <v>31</v>
      </c>
      <c r="M112" s="4" t="s">
        <v>1296</v>
      </c>
      <c r="N112" s="4" t="s">
        <v>33</v>
      </c>
      <c r="O112" s="8">
        <v>9013116.0</v>
      </c>
      <c r="P112" s="8">
        <v>174.0</v>
      </c>
      <c r="Q112" s="9">
        <v>93.9318</v>
      </c>
      <c r="R112" s="4" t="s">
        <v>1295</v>
      </c>
      <c r="S112" s="4" t="s">
        <v>34</v>
      </c>
      <c r="T112" s="5" t="s">
        <v>1297</v>
      </c>
      <c r="U112" s="4" t="s">
        <v>1298</v>
      </c>
      <c r="V112" s="10" t="s">
        <v>1299</v>
      </c>
      <c r="W112" s="10" t="s">
        <v>1300</v>
      </c>
      <c r="X112" s="10" t="s">
        <v>1301</v>
      </c>
      <c r="Y112" s="10" t="s">
        <v>1302</v>
      </c>
      <c r="Z112" s="11" t="s">
        <v>40</v>
      </c>
      <c r="AA112" s="2"/>
      <c r="AB112" s="2"/>
      <c r="AC112" s="2"/>
      <c r="AD112" s="2"/>
      <c r="AE112" s="2"/>
      <c r="AF112" s="2"/>
    </row>
    <row r="113" ht="22.5" customHeight="1">
      <c r="A113" s="12">
        <v>46023.6990066088</v>
      </c>
      <c r="B113" s="13" t="s">
        <v>1303</v>
      </c>
      <c r="C113" s="13" t="s">
        <v>1303</v>
      </c>
      <c r="D113" s="14" t="s">
        <v>1304</v>
      </c>
      <c r="E113" s="13" t="str">
        <f t="shared" si="1"/>
        <v>+923706271683</v>
      </c>
      <c r="F113" s="13" t="s">
        <v>1305</v>
      </c>
      <c r="G113" s="13" t="s">
        <v>1306</v>
      </c>
      <c r="H113" s="17">
        <v>3.65025053694E12</v>
      </c>
      <c r="I113" s="17">
        <v>3.65025053694E12</v>
      </c>
      <c r="J113" s="22" t="str">
        <f>IFERROR(__xludf.DUMMYFUNCTION("TEXT(REGEXREPLACE(I113, ""[^0-9]"", """"), ""00000-0000000-0"")"),"#VALUE!")</f>
        <v>#VALUE!</v>
      </c>
      <c r="K113" s="16">
        <v>38465.0</v>
      </c>
      <c r="L113" s="13" t="s">
        <v>31</v>
      </c>
      <c r="M113" s="13" t="s">
        <v>1307</v>
      </c>
      <c r="N113" s="13" t="s">
        <v>383</v>
      </c>
      <c r="O113" s="17">
        <v>8010092.0</v>
      </c>
      <c r="P113" s="17">
        <v>158.0</v>
      </c>
      <c r="Q113" s="18">
        <v>93.95</v>
      </c>
      <c r="R113" s="13" t="s">
        <v>1305</v>
      </c>
      <c r="S113" s="13" t="s">
        <v>34</v>
      </c>
      <c r="T113" s="14" t="s">
        <v>1308</v>
      </c>
      <c r="U113" s="13" t="s">
        <v>1309</v>
      </c>
      <c r="V113" s="19" t="s">
        <v>1310</v>
      </c>
      <c r="W113" s="19" t="s">
        <v>1311</v>
      </c>
      <c r="X113" s="19" t="s">
        <v>1312</v>
      </c>
      <c r="Y113" s="19" t="s">
        <v>1313</v>
      </c>
      <c r="Z113" s="20" t="s">
        <v>40</v>
      </c>
      <c r="AA113" s="2"/>
      <c r="AB113" s="2"/>
      <c r="AC113" s="2"/>
      <c r="AD113" s="2"/>
      <c r="AE113" s="2"/>
      <c r="AF113" s="2"/>
    </row>
    <row r="114" ht="22.5" customHeight="1">
      <c r="A114" s="3">
        <v>46023.70395642361</v>
      </c>
      <c r="B114" s="4" t="s">
        <v>1314</v>
      </c>
      <c r="C114" s="4" t="s">
        <v>1315</v>
      </c>
      <c r="D114" s="5" t="s">
        <v>1316</v>
      </c>
      <c r="E114" s="4" t="str">
        <f t="shared" si="1"/>
        <v>+923245713107</v>
      </c>
      <c r="F114" s="4" t="s">
        <v>1317</v>
      </c>
      <c r="G114" s="4" t="s">
        <v>1318</v>
      </c>
      <c r="H114" s="8">
        <v>3.310035618016E12</v>
      </c>
      <c r="I114" s="8">
        <v>3.310035618016E12</v>
      </c>
      <c r="J114" s="21" t="str">
        <f>IFERROR(__xludf.DUMMYFUNCTION("TEXT(REGEXREPLACE(I114, ""[^0-9]"", """"), ""00000-0000000-0"")"),"#VALUE!")</f>
        <v>#VALUE!</v>
      </c>
      <c r="K114" s="7">
        <v>38568.0</v>
      </c>
      <c r="L114" s="4" t="s">
        <v>31</v>
      </c>
      <c r="M114" s="4" t="s">
        <v>1319</v>
      </c>
      <c r="N114" s="4" t="s">
        <v>33</v>
      </c>
      <c r="O114" s="8">
        <v>2010034.0</v>
      </c>
      <c r="P114" s="8">
        <v>65.0</v>
      </c>
      <c r="Q114" s="9">
        <v>94.2636</v>
      </c>
      <c r="R114" s="4" t="s">
        <v>1318</v>
      </c>
      <c r="S114" s="4" t="s">
        <v>50</v>
      </c>
      <c r="T114" s="5" t="s">
        <v>1320</v>
      </c>
      <c r="U114" s="4" t="s">
        <v>1314</v>
      </c>
      <c r="V114" s="10" t="s">
        <v>1321</v>
      </c>
      <c r="W114" s="10" t="s">
        <v>1322</v>
      </c>
      <c r="X114" s="10" t="s">
        <v>1323</v>
      </c>
      <c r="Y114" s="10" t="s">
        <v>1324</v>
      </c>
      <c r="Z114" s="11" t="s">
        <v>40</v>
      </c>
      <c r="AA114" s="2"/>
      <c r="AB114" s="2"/>
      <c r="AC114" s="2"/>
      <c r="AD114" s="2"/>
      <c r="AE114" s="2"/>
      <c r="AF114" s="2"/>
    </row>
    <row r="115" ht="22.5" customHeight="1">
      <c r="A115" s="12">
        <v>46023.7121334375</v>
      </c>
      <c r="B115" s="13" t="s">
        <v>1325</v>
      </c>
      <c r="C115" s="13" t="s">
        <v>1325</v>
      </c>
      <c r="D115" s="14" t="s">
        <v>1326</v>
      </c>
      <c r="E115" s="13" t="str">
        <f t="shared" si="1"/>
        <v>+923261954783</v>
      </c>
      <c r="F115" s="13" t="s">
        <v>1327</v>
      </c>
      <c r="G115" s="13" t="s">
        <v>1328</v>
      </c>
      <c r="H115" s="13" t="s">
        <v>1329</v>
      </c>
      <c r="I115" s="13" t="s">
        <v>1329</v>
      </c>
      <c r="J115" s="15" t="str">
        <f>IFERROR(__xludf.DUMMYFUNCTION("TEXT(REGEXREPLACE(I115, ""[^0-9]"", """"), ""00000-0000000-0"")"),"33100-5716463-5")</f>
        <v>33100-5716463-5</v>
      </c>
      <c r="K115" s="16">
        <v>38805.0</v>
      </c>
      <c r="L115" s="13" t="s">
        <v>46</v>
      </c>
      <c r="M115" s="13" t="s">
        <v>1330</v>
      </c>
      <c r="N115" s="13" t="s">
        <v>33</v>
      </c>
      <c r="O115" s="17">
        <v>2090046.0</v>
      </c>
      <c r="P115" s="17">
        <v>92.0</v>
      </c>
      <c r="Q115" s="18">
        <v>94.1364</v>
      </c>
      <c r="R115" s="13" t="s">
        <v>196</v>
      </c>
      <c r="S115" s="13" t="s">
        <v>34</v>
      </c>
      <c r="T115" s="14" t="s">
        <v>1331</v>
      </c>
      <c r="U115" s="13" t="s">
        <v>1325</v>
      </c>
      <c r="V115" s="19" t="s">
        <v>1332</v>
      </c>
      <c r="W115" s="19" t="s">
        <v>1333</v>
      </c>
      <c r="X115" s="19" t="s">
        <v>1334</v>
      </c>
      <c r="Y115" s="19" t="s">
        <v>1335</v>
      </c>
      <c r="Z115" s="20" t="s">
        <v>40</v>
      </c>
      <c r="AA115" s="2"/>
      <c r="AB115" s="2"/>
      <c r="AC115" s="2"/>
      <c r="AD115" s="2"/>
      <c r="AE115" s="2"/>
      <c r="AF115" s="2"/>
    </row>
    <row r="116" ht="22.5" customHeight="1">
      <c r="A116" s="3">
        <v>46023.71399305556</v>
      </c>
      <c r="B116" s="4" t="s">
        <v>1336</v>
      </c>
      <c r="C116" s="4" t="s">
        <v>1336</v>
      </c>
      <c r="D116" s="5" t="s">
        <v>1337</v>
      </c>
      <c r="E116" s="4" t="str">
        <f t="shared" si="1"/>
        <v>+923189838675</v>
      </c>
      <c r="F116" s="4" t="s">
        <v>1338</v>
      </c>
      <c r="G116" s="4" t="s">
        <v>1339</v>
      </c>
      <c r="H116" s="4" t="s">
        <v>1340</v>
      </c>
      <c r="I116" s="4" t="s">
        <v>1340</v>
      </c>
      <c r="J116" s="6" t="str">
        <f>IFERROR(__xludf.DUMMYFUNCTION("TEXT(REGEXREPLACE(I116, ""[^0-9]"", """"), ""00000-0000000-0"")"),"33102-3084297-8")</f>
        <v>33102-3084297-8</v>
      </c>
      <c r="K116" s="7">
        <v>39430.0</v>
      </c>
      <c r="L116" s="4" t="s">
        <v>31</v>
      </c>
      <c r="M116" s="4" t="s">
        <v>1341</v>
      </c>
      <c r="N116" s="4" t="s">
        <v>33</v>
      </c>
      <c r="O116" s="8">
        <v>2011217.0</v>
      </c>
      <c r="P116" s="8">
        <v>2.0</v>
      </c>
      <c r="Q116" s="9">
        <v>95.7758</v>
      </c>
      <c r="R116" s="4" t="s">
        <v>1342</v>
      </c>
      <c r="S116" s="4" t="s">
        <v>34</v>
      </c>
      <c r="T116" s="5" t="s">
        <v>1343</v>
      </c>
      <c r="U116" s="4" t="s">
        <v>1344</v>
      </c>
      <c r="V116" s="10" t="s">
        <v>1345</v>
      </c>
      <c r="W116" s="10" t="s">
        <v>1346</v>
      </c>
      <c r="X116" s="10" t="s">
        <v>1347</v>
      </c>
      <c r="Y116" s="10" t="s">
        <v>1348</v>
      </c>
      <c r="Z116" s="11" t="s">
        <v>40</v>
      </c>
      <c r="AA116" s="2"/>
      <c r="AB116" s="2"/>
      <c r="AC116" s="2"/>
      <c r="AD116" s="2"/>
      <c r="AE116" s="2"/>
      <c r="AF116" s="2"/>
    </row>
    <row r="117" ht="22.5" customHeight="1">
      <c r="A117" s="12">
        <v>46023.71613585648</v>
      </c>
      <c r="B117" s="13" t="s">
        <v>1349</v>
      </c>
      <c r="C117" s="13" t="s">
        <v>1349</v>
      </c>
      <c r="D117" s="14" t="s">
        <v>1350</v>
      </c>
      <c r="E117" s="13" t="str">
        <f t="shared" si="1"/>
        <v>+923424692368</v>
      </c>
      <c r="F117" s="13" t="s">
        <v>1351</v>
      </c>
      <c r="G117" s="13" t="s">
        <v>1352</v>
      </c>
      <c r="H117" s="13" t="s">
        <v>1353</v>
      </c>
      <c r="I117" s="13" t="s">
        <v>1353</v>
      </c>
      <c r="J117" s="15" t="str">
        <f>IFERROR(__xludf.DUMMYFUNCTION("TEXT(REGEXREPLACE(I117, ""[^0-9]"", """"), ""00000-0000000-0"")"),"33104-0402526-7")</f>
        <v>33104-0402526-7</v>
      </c>
      <c r="K117" s="16">
        <v>39143.0</v>
      </c>
      <c r="L117" s="13" t="s">
        <v>46</v>
      </c>
      <c r="M117" s="13" t="s">
        <v>1354</v>
      </c>
      <c r="N117" s="13" t="s">
        <v>33</v>
      </c>
      <c r="O117" s="17">
        <v>1071877.0</v>
      </c>
      <c r="P117" s="17">
        <v>44.0</v>
      </c>
      <c r="Q117" s="18">
        <v>0.955</v>
      </c>
      <c r="R117" s="13" t="s">
        <v>1352</v>
      </c>
      <c r="S117" s="13" t="s">
        <v>50</v>
      </c>
      <c r="T117" s="14" t="s">
        <v>1355</v>
      </c>
      <c r="U117" s="13" t="s">
        <v>1356</v>
      </c>
      <c r="V117" s="19" t="s">
        <v>1357</v>
      </c>
      <c r="W117" s="19" t="s">
        <v>1358</v>
      </c>
      <c r="X117" s="19" t="s">
        <v>1359</v>
      </c>
      <c r="Y117" s="19" t="s">
        <v>1360</v>
      </c>
      <c r="Z117" s="20" t="s">
        <v>40</v>
      </c>
      <c r="AA117" s="2"/>
      <c r="AB117" s="2"/>
      <c r="AC117" s="2"/>
      <c r="AD117" s="2"/>
      <c r="AE117" s="2"/>
      <c r="AF117" s="2"/>
    </row>
    <row r="118" ht="22.5" customHeight="1">
      <c r="A118" s="3">
        <v>46023.72543626158</v>
      </c>
      <c r="B118" s="4" t="s">
        <v>1361</v>
      </c>
      <c r="C118" s="4" t="s">
        <v>1361</v>
      </c>
      <c r="D118" s="5" t="s">
        <v>1362</v>
      </c>
      <c r="E118" s="4" t="str">
        <f t="shared" si="1"/>
        <v>+923356806746</v>
      </c>
      <c r="F118" s="4" t="s">
        <v>1363</v>
      </c>
      <c r="G118" s="4" t="s">
        <v>1364</v>
      </c>
      <c r="H118" s="8">
        <v>3.310069745765E12</v>
      </c>
      <c r="I118" s="8">
        <v>3.310069745765E12</v>
      </c>
      <c r="J118" s="21" t="str">
        <f>IFERROR(__xludf.DUMMYFUNCTION("TEXT(REGEXREPLACE(I118, ""[^0-9]"", """"), ""00000-0000000-0"")"),"#VALUE!")</f>
        <v>#VALUE!</v>
      </c>
      <c r="K118" s="7">
        <v>38527.0</v>
      </c>
      <c r="L118" s="4" t="s">
        <v>46</v>
      </c>
      <c r="M118" s="4" t="s">
        <v>1365</v>
      </c>
      <c r="N118" s="4" t="s">
        <v>33</v>
      </c>
      <c r="O118" s="8">
        <v>2070171.0</v>
      </c>
      <c r="P118" s="8">
        <v>256.0</v>
      </c>
      <c r="Q118" s="9">
        <v>93.863</v>
      </c>
      <c r="R118" s="4" t="s">
        <v>1364</v>
      </c>
      <c r="S118" s="4" t="s">
        <v>34</v>
      </c>
      <c r="T118" s="5" t="s">
        <v>1366</v>
      </c>
      <c r="U118" s="25"/>
      <c r="V118" s="10" t="s">
        <v>1367</v>
      </c>
      <c r="W118" s="10" t="s">
        <v>1368</v>
      </c>
      <c r="X118" s="10" t="s">
        <v>1369</v>
      </c>
      <c r="Y118" s="10" t="s">
        <v>1370</v>
      </c>
      <c r="Z118" s="11" t="s">
        <v>40</v>
      </c>
      <c r="AA118" s="2"/>
      <c r="AB118" s="2"/>
      <c r="AC118" s="2"/>
      <c r="AD118" s="2"/>
      <c r="AE118" s="2"/>
      <c r="AF118" s="2"/>
    </row>
    <row r="119" ht="22.5" customHeight="1">
      <c r="A119" s="12">
        <v>46023.73601260417</v>
      </c>
      <c r="B119" s="13" t="s">
        <v>1371</v>
      </c>
      <c r="C119" s="13" t="s">
        <v>1371</v>
      </c>
      <c r="D119" s="14" t="s">
        <v>1372</v>
      </c>
      <c r="E119" s="13" t="str">
        <f t="shared" si="1"/>
        <v>+923126366918</v>
      </c>
      <c r="F119" s="13" t="s">
        <v>1373</v>
      </c>
      <c r="G119" s="13" t="s">
        <v>1374</v>
      </c>
      <c r="H119" s="17">
        <v>3.520263494448E12</v>
      </c>
      <c r="I119" s="17">
        <v>3.520263494448E12</v>
      </c>
      <c r="J119" s="22" t="str">
        <f>IFERROR(__xludf.DUMMYFUNCTION("TEXT(REGEXREPLACE(I119, ""[^0-9]"", """"), ""00000-0000000-0"")"),"#VALUE!")</f>
        <v>#VALUE!</v>
      </c>
      <c r="K119" s="16">
        <v>39375.0</v>
      </c>
      <c r="L119" s="13" t="s">
        <v>31</v>
      </c>
      <c r="M119" s="13" t="s">
        <v>1375</v>
      </c>
      <c r="N119" s="13" t="s">
        <v>93</v>
      </c>
      <c r="O119" s="17">
        <v>185178.0</v>
      </c>
      <c r="P119" s="17">
        <v>285.0</v>
      </c>
      <c r="Q119" s="18">
        <v>90.6955</v>
      </c>
      <c r="R119" s="13" t="s">
        <v>1374</v>
      </c>
      <c r="S119" s="13" t="s">
        <v>34</v>
      </c>
      <c r="T119" s="14" t="s">
        <v>1376</v>
      </c>
      <c r="U119" s="19" t="s">
        <v>1377</v>
      </c>
      <c r="V119" s="19" t="s">
        <v>1378</v>
      </c>
      <c r="W119" s="19" t="s">
        <v>1379</v>
      </c>
      <c r="X119" s="19" t="s">
        <v>1380</v>
      </c>
      <c r="Y119" s="19" t="s">
        <v>1381</v>
      </c>
      <c r="Z119" s="20" t="s">
        <v>40</v>
      </c>
      <c r="AA119" s="2"/>
      <c r="AB119" s="2"/>
      <c r="AC119" s="2"/>
      <c r="AD119" s="2"/>
      <c r="AE119" s="2"/>
      <c r="AF119" s="2"/>
    </row>
    <row r="120" ht="22.5" customHeight="1">
      <c r="A120" s="3">
        <v>46023.73746337963</v>
      </c>
      <c r="B120" s="4" t="s">
        <v>1382</v>
      </c>
      <c r="C120" s="4" t="s">
        <v>1382</v>
      </c>
      <c r="D120" s="5" t="s">
        <v>1383</v>
      </c>
      <c r="E120" s="4" t="str">
        <f t="shared" si="1"/>
        <v>+923276371996</v>
      </c>
      <c r="F120" s="4" t="s">
        <v>1384</v>
      </c>
      <c r="G120" s="4" t="s">
        <v>1385</v>
      </c>
      <c r="H120" s="4" t="s">
        <v>1386</v>
      </c>
      <c r="I120" s="4" t="s">
        <v>1386</v>
      </c>
      <c r="J120" s="6" t="str">
        <f>IFERROR(__xludf.DUMMYFUNCTION("TEXT(REGEXREPLACE(I120, ""[^0-9]"", """"), ""00000-0000000-0"")"),"31202-5248587-1")</f>
        <v>31202-5248587-1</v>
      </c>
      <c r="K120" s="7">
        <v>38556.0</v>
      </c>
      <c r="L120" s="4" t="s">
        <v>46</v>
      </c>
      <c r="M120" s="4" t="s">
        <v>1387</v>
      </c>
      <c r="N120" s="4" t="s">
        <v>48</v>
      </c>
      <c r="O120" s="8">
        <v>1170005.0</v>
      </c>
      <c r="P120" s="8">
        <v>173.0</v>
      </c>
      <c r="Q120" s="9">
        <v>93.9409</v>
      </c>
      <c r="R120" s="4" t="s">
        <v>1388</v>
      </c>
      <c r="S120" s="4" t="s">
        <v>34</v>
      </c>
      <c r="T120" s="5" t="s">
        <v>1389</v>
      </c>
      <c r="U120" s="4" t="s">
        <v>1390</v>
      </c>
      <c r="V120" s="10" t="s">
        <v>1391</v>
      </c>
      <c r="W120" s="10" t="s">
        <v>1392</v>
      </c>
      <c r="X120" s="10" t="s">
        <v>1393</v>
      </c>
      <c r="Y120" s="10" t="s">
        <v>1394</v>
      </c>
      <c r="Z120" s="11" t="s">
        <v>40</v>
      </c>
      <c r="AA120" s="2"/>
      <c r="AB120" s="2"/>
      <c r="AC120" s="2"/>
      <c r="AD120" s="2"/>
      <c r="AE120" s="2"/>
      <c r="AF120" s="2"/>
    </row>
    <row r="121" ht="22.5" customHeight="1">
      <c r="A121" s="12">
        <v>46023.74891368055</v>
      </c>
      <c r="B121" s="13" t="s">
        <v>549</v>
      </c>
      <c r="C121" s="13" t="s">
        <v>549</v>
      </c>
      <c r="D121" s="14" t="s">
        <v>550</v>
      </c>
      <c r="E121" s="13" t="str">
        <f t="shared" si="1"/>
        <v>+923137991099</v>
      </c>
      <c r="F121" s="13" t="s">
        <v>551</v>
      </c>
      <c r="G121" s="13" t="s">
        <v>552</v>
      </c>
      <c r="H121" s="13" t="s">
        <v>553</v>
      </c>
      <c r="I121" s="13" t="s">
        <v>553</v>
      </c>
      <c r="J121" s="15" t="str">
        <f>IFERROR(__xludf.DUMMYFUNCTION("TEXT(REGEXREPLACE(I121, ""[^0-9]"", """"), ""00000-0000000-0"")"),"33102-1333226-0")</f>
        <v>33102-1333226-0</v>
      </c>
      <c r="K121" s="16">
        <v>39091.0</v>
      </c>
      <c r="L121" s="13" t="s">
        <v>31</v>
      </c>
      <c r="M121" s="13" t="s">
        <v>1395</v>
      </c>
      <c r="N121" s="13" t="s">
        <v>33</v>
      </c>
      <c r="O121" s="17">
        <v>2010156.0</v>
      </c>
      <c r="P121" s="17">
        <v>40.0</v>
      </c>
      <c r="Q121" s="18">
        <v>94.39</v>
      </c>
      <c r="R121" s="13" t="s">
        <v>555</v>
      </c>
      <c r="S121" s="13" t="s">
        <v>34</v>
      </c>
      <c r="T121" s="14" t="s">
        <v>556</v>
      </c>
      <c r="U121" s="13" t="s">
        <v>1396</v>
      </c>
      <c r="V121" s="19" t="s">
        <v>1397</v>
      </c>
      <c r="W121" s="19" t="s">
        <v>1398</v>
      </c>
      <c r="X121" s="19" t="s">
        <v>1399</v>
      </c>
      <c r="Y121" s="19" t="s">
        <v>1400</v>
      </c>
      <c r="Z121" s="20" t="s">
        <v>40</v>
      </c>
      <c r="AA121" s="2"/>
      <c r="AB121" s="2"/>
      <c r="AC121" s="2"/>
      <c r="AD121" s="2"/>
      <c r="AE121" s="2"/>
      <c r="AF121" s="2"/>
    </row>
    <row r="122" ht="22.5" customHeight="1">
      <c r="A122" s="3">
        <v>46023.75323083333</v>
      </c>
      <c r="B122" s="4" t="s">
        <v>1401</v>
      </c>
      <c r="C122" s="4" t="s">
        <v>1401</v>
      </c>
      <c r="D122" s="5" t="s">
        <v>1402</v>
      </c>
      <c r="E122" s="4" t="str">
        <f t="shared" si="1"/>
        <v>+923048880798</v>
      </c>
      <c r="F122" s="4" t="s">
        <v>1403</v>
      </c>
      <c r="G122" s="4" t="s">
        <v>1404</v>
      </c>
      <c r="H122" s="8">
        <v>3.610381659642E12</v>
      </c>
      <c r="I122" s="8">
        <v>3.610381659642E12</v>
      </c>
      <c r="J122" s="21" t="str">
        <f>IFERROR(__xludf.DUMMYFUNCTION("TEXT(REGEXREPLACE(I122, ""[^0-9]"", """"), ""00000-0000000-0"")"),"#VALUE!")</f>
        <v>#VALUE!</v>
      </c>
      <c r="K122" s="7">
        <v>38925.0</v>
      </c>
      <c r="L122" s="4" t="s">
        <v>31</v>
      </c>
      <c r="M122" s="4" t="s">
        <v>1405</v>
      </c>
      <c r="N122" s="4" t="s">
        <v>93</v>
      </c>
      <c r="O122" s="8">
        <v>9010891.0</v>
      </c>
      <c r="P122" s="8">
        <v>245.0</v>
      </c>
      <c r="Q122" s="9">
        <v>0.9385</v>
      </c>
      <c r="R122" s="4" t="s">
        <v>1406</v>
      </c>
      <c r="S122" s="4" t="s">
        <v>95</v>
      </c>
      <c r="T122" s="5" t="s">
        <v>1407</v>
      </c>
      <c r="U122" s="4" t="s">
        <v>1408</v>
      </c>
      <c r="V122" s="10" t="s">
        <v>1409</v>
      </c>
      <c r="W122" s="10" t="s">
        <v>1410</v>
      </c>
      <c r="X122" s="10" t="s">
        <v>1411</v>
      </c>
      <c r="Y122" s="10" t="s">
        <v>1412</v>
      </c>
      <c r="Z122" s="11" t="s">
        <v>40</v>
      </c>
      <c r="AA122" s="2"/>
      <c r="AB122" s="2"/>
      <c r="AC122" s="2"/>
      <c r="AD122" s="2"/>
      <c r="AE122" s="2"/>
      <c r="AF122" s="2"/>
    </row>
    <row r="123" ht="22.5" customHeight="1">
      <c r="A123" s="12">
        <v>46023.75575415509</v>
      </c>
      <c r="B123" s="13" t="s">
        <v>1413</v>
      </c>
      <c r="C123" s="13" t="s">
        <v>900</v>
      </c>
      <c r="D123" s="14" t="s">
        <v>1414</v>
      </c>
      <c r="E123" s="13" t="str">
        <f t="shared" si="1"/>
        <v>+923427854975</v>
      </c>
      <c r="F123" s="13" t="s">
        <v>1415</v>
      </c>
      <c r="G123" s="13" t="s">
        <v>1416</v>
      </c>
      <c r="H123" s="17">
        <v>3.310344195215E12</v>
      </c>
      <c r="I123" s="17">
        <v>3.310344195215E12</v>
      </c>
      <c r="J123" s="22" t="str">
        <f>IFERROR(__xludf.DUMMYFUNCTION("TEXT(REGEXREPLACE(I123, ""[^0-9]"", """"), ""00000-0000000-0"")"),"#VALUE!")</f>
        <v>#VALUE!</v>
      </c>
      <c r="K123" s="16">
        <v>37445.0</v>
      </c>
      <c r="L123" s="13" t="s">
        <v>46</v>
      </c>
      <c r="M123" s="13" t="s">
        <v>1417</v>
      </c>
      <c r="N123" s="13" t="s">
        <v>48</v>
      </c>
      <c r="O123" s="17">
        <v>2071451.0</v>
      </c>
      <c r="P123" s="17">
        <v>147.0</v>
      </c>
      <c r="Q123" s="18">
        <v>95.0</v>
      </c>
      <c r="R123" s="13" t="s">
        <v>1416</v>
      </c>
      <c r="S123" s="13" t="s">
        <v>34</v>
      </c>
      <c r="T123" s="14" t="s">
        <v>1418</v>
      </c>
      <c r="U123" s="13" t="s">
        <v>1413</v>
      </c>
      <c r="V123" s="23"/>
      <c r="W123" s="23"/>
      <c r="X123" s="23"/>
      <c r="Y123" s="23"/>
      <c r="Z123" s="20" t="s">
        <v>40</v>
      </c>
      <c r="AA123" s="2"/>
      <c r="AB123" s="2"/>
      <c r="AC123" s="2"/>
      <c r="AD123" s="2"/>
      <c r="AE123" s="2"/>
      <c r="AF123" s="2"/>
    </row>
    <row r="124" ht="22.5" customHeight="1">
      <c r="A124" s="3">
        <v>46023.75778461805</v>
      </c>
      <c r="B124" s="4" t="s">
        <v>1419</v>
      </c>
      <c r="C124" s="4" t="s">
        <v>1419</v>
      </c>
      <c r="D124" s="4" t="s">
        <v>1420</v>
      </c>
      <c r="E124" s="4" t="str">
        <f t="shared" si="1"/>
        <v>+923056663342</v>
      </c>
      <c r="F124" s="4" t="s">
        <v>1421</v>
      </c>
      <c r="G124" s="4" t="s">
        <v>1422</v>
      </c>
      <c r="H124" s="4" t="s">
        <v>1423</v>
      </c>
      <c r="I124" s="4" t="s">
        <v>1423</v>
      </c>
      <c r="J124" s="6" t="str">
        <f>IFERROR(__xludf.DUMMYFUNCTION("TEXT(REGEXREPLACE(I124, ""[^0-9]"", """"), ""00000-0000000-0"")"),"33100-3367539-8")</f>
        <v>33100-3367539-8</v>
      </c>
      <c r="K124" s="7">
        <v>39140.0</v>
      </c>
      <c r="L124" s="4" t="s">
        <v>31</v>
      </c>
      <c r="M124" s="4" t="s">
        <v>1424</v>
      </c>
      <c r="N124" s="4" t="s">
        <v>33</v>
      </c>
      <c r="O124" s="8">
        <v>2011289.0</v>
      </c>
      <c r="P124" s="8">
        <v>69.0</v>
      </c>
      <c r="Q124" s="9">
        <v>94.253</v>
      </c>
      <c r="R124" s="4" t="s">
        <v>1422</v>
      </c>
      <c r="S124" s="4" t="s">
        <v>34</v>
      </c>
      <c r="T124" s="4" t="s">
        <v>1425</v>
      </c>
      <c r="U124" s="4" t="s">
        <v>1426</v>
      </c>
      <c r="V124" s="10" t="s">
        <v>1427</v>
      </c>
      <c r="W124" s="10" t="s">
        <v>1428</v>
      </c>
      <c r="X124" s="10" t="s">
        <v>1429</v>
      </c>
      <c r="Y124" s="10" t="s">
        <v>1430</v>
      </c>
      <c r="Z124" s="11" t="s">
        <v>40</v>
      </c>
      <c r="AA124" s="2"/>
      <c r="AB124" s="2"/>
      <c r="AC124" s="2"/>
      <c r="AD124" s="2"/>
      <c r="AE124" s="2"/>
      <c r="AF124" s="2"/>
    </row>
    <row r="125" ht="22.5" customHeight="1">
      <c r="A125" s="12">
        <v>46023.76078163194</v>
      </c>
      <c r="B125" s="13" t="s">
        <v>1431</v>
      </c>
      <c r="C125" s="13" t="s">
        <v>1431</v>
      </c>
      <c r="D125" s="14" t="s">
        <v>1432</v>
      </c>
      <c r="E125" s="13" t="str">
        <f t="shared" si="1"/>
        <v>+923132848649</v>
      </c>
      <c r="F125" s="13" t="s">
        <v>1433</v>
      </c>
      <c r="G125" s="13" t="s">
        <v>1434</v>
      </c>
      <c r="H125" s="17">
        <v>3.330158820218E12</v>
      </c>
      <c r="I125" s="17">
        <v>3.330158820218E12</v>
      </c>
      <c r="J125" s="22" t="str">
        <f>IFERROR(__xludf.DUMMYFUNCTION("TEXT(REGEXREPLACE(I125, ""[^0-9]"", """"), ""00000-0000000-0"")"),"#VALUE!")</f>
        <v>#VALUE!</v>
      </c>
      <c r="K125" s="16">
        <v>38809.0</v>
      </c>
      <c r="L125" s="13" t="s">
        <v>31</v>
      </c>
      <c r="M125" s="13" t="s">
        <v>1435</v>
      </c>
      <c r="N125" s="13" t="s">
        <v>33</v>
      </c>
      <c r="O125" s="17">
        <v>2011132.0</v>
      </c>
      <c r="P125" s="17">
        <v>107.0</v>
      </c>
      <c r="Q125" s="18">
        <v>94.1</v>
      </c>
      <c r="R125" s="13" t="s">
        <v>1434</v>
      </c>
      <c r="S125" s="13" t="s">
        <v>34</v>
      </c>
      <c r="T125" s="14" t="s">
        <v>1436</v>
      </c>
      <c r="U125" s="13" t="s">
        <v>1437</v>
      </c>
      <c r="V125" s="19" t="s">
        <v>1438</v>
      </c>
      <c r="W125" s="19" t="s">
        <v>1439</v>
      </c>
      <c r="X125" s="19" t="s">
        <v>1440</v>
      </c>
      <c r="Y125" s="19" t="s">
        <v>1441</v>
      </c>
      <c r="Z125" s="20" t="s">
        <v>40</v>
      </c>
      <c r="AA125" s="2"/>
      <c r="AB125" s="2"/>
      <c r="AC125" s="2"/>
      <c r="AD125" s="2"/>
      <c r="AE125" s="2"/>
      <c r="AF125" s="2"/>
    </row>
    <row r="126" ht="22.5" customHeight="1">
      <c r="A126" s="3">
        <v>46023.77017659722</v>
      </c>
      <c r="B126" s="4" t="s">
        <v>1442</v>
      </c>
      <c r="C126" s="4" t="s">
        <v>1442</v>
      </c>
      <c r="D126" s="5" t="s">
        <v>1443</v>
      </c>
      <c r="E126" s="4" t="str">
        <f t="shared" si="1"/>
        <v>+923040455055</v>
      </c>
      <c r="F126" s="4" t="s">
        <v>1444</v>
      </c>
      <c r="G126" s="4" t="s">
        <v>1445</v>
      </c>
      <c r="H126" s="8">
        <v>3.330403503107E12</v>
      </c>
      <c r="I126" s="8">
        <v>3.330403503107E12</v>
      </c>
      <c r="J126" s="21" t="str">
        <f>IFERROR(__xludf.DUMMYFUNCTION("TEXT(REGEXREPLACE(I126, ""[^0-9]"", """"), ""00000-0000000-0"")"),"#VALUE!")</f>
        <v>#VALUE!</v>
      </c>
      <c r="K126" s="7">
        <v>37987.0</v>
      </c>
      <c r="L126" s="4" t="s">
        <v>46</v>
      </c>
      <c r="M126" s="4" t="s">
        <v>1446</v>
      </c>
      <c r="N126" s="4" t="s">
        <v>33</v>
      </c>
      <c r="O126" s="8">
        <v>2071545.0</v>
      </c>
      <c r="P126" s="8">
        <v>269.0</v>
      </c>
      <c r="Q126" s="9">
        <v>93.82</v>
      </c>
      <c r="R126" s="4" t="s">
        <v>1447</v>
      </c>
      <c r="S126" s="4" t="s">
        <v>34</v>
      </c>
      <c r="T126" s="5" t="s">
        <v>1448</v>
      </c>
      <c r="U126" s="4" t="s">
        <v>1449</v>
      </c>
      <c r="V126" s="10" t="s">
        <v>1450</v>
      </c>
      <c r="W126" s="10" t="s">
        <v>1451</v>
      </c>
      <c r="X126" s="10" t="s">
        <v>1452</v>
      </c>
      <c r="Y126" s="10" t="s">
        <v>1453</v>
      </c>
      <c r="Z126" s="11" t="s">
        <v>40</v>
      </c>
      <c r="AA126" s="2"/>
      <c r="AB126" s="2"/>
      <c r="AC126" s="2"/>
      <c r="AD126" s="2"/>
      <c r="AE126" s="2"/>
      <c r="AF126" s="2"/>
    </row>
    <row r="127" ht="22.5" customHeight="1">
      <c r="A127" s="12">
        <v>46023.77794865741</v>
      </c>
      <c r="B127" s="13" t="s">
        <v>1454</v>
      </c>
      <c r="C127" s="13" t="s">
        <v>1454</v>
      </c>
      <c r="D127" s="14" t="s">
        <v>1455</v>
      </c>
      <c r="E127" s="13" t="str">
        <f t="shared" si="1"/>
        <v>+923007672767</v>
      </c>
      <c r="F127" s="13" t="s">
        <v>1456</v>
      </c>
      <c r="G127" s="13" t="s">
        <v>1457</v>
      </c>
      <c r="H127" s="17">
        <v>3.310353077615E12</v>
      </c>
      <c r="I127" s="17">
        <v>3.310353077615E12</v>
      </c>
      <c r="J127" s="22" t="str">
        <f>IFERROR(__xludf.DUMMYFUNCTION("TEXT(REGEXREPLACE(I127, ""[^0-9]"", """"), ""00000-0000000-0"")"),"#VALUE!")</f>
        <v>#VALUE!</v>
      </c>
      <c r="K127" s="16">
        <v>38658.0</v>
      </c>
      <c r="L127" s="13" t="s">
        <v>46</v>
      </c>
      <c r="M127" s="13" t="s">
        <v>1458</v>
      </c>
      <c r="N127" s="13" t="s">
        <v>48</v>
      </c>
      <c r="O127" s="17">
        <v>2070709.0</v>
      </c>
      <c r="P127" s="17">
        <v>58.0</v>
      </c>
      <c r="Q127" s="18">
        <v>94.5</v>
      </c>
      <c r="R127" s="13" t="s">
        <v>1459</v>
      </c>
      <c r="S127" s="13" t="s">
        <v>778</v>
      </c>
      <c r="T127" s="14" t="s">
        <v>1460</v>
      </c>
      <c r="U127" s="13" t="s">
        <v>1454</v>
      </c>
      <c r="V127" s="19" t="s">
        <v>1461</v>
      </c>
      <c r="W127" s="19" t="s">
        <v>1462</v>
      </c>
      <c r="X127" s="19" t="s">
        <v>1463</v>
      </c>
      <c r="Y127" s="19" t="s">
        <v>1464</v>
      </c>
      <c r="Z127" s="20" t="s">
        <v>40</v>
      </c>
      <c r="AA127" s="2"/>
      <c r="AB127" s="2"/>
      <c r="AC127" s="2"/>
      <c r="AD127" s="2"/>
      <c r="AE127" s="2"/>
      <c r="AF127" s="2"/>
    </row>
    <row r="128" ht="22.5" customHeight="1">
      <c r="A128" s="3">
        <v>46023.79420222223</v>
      </c>
      <c r="B128" s="4" t="s">
        <v>1465</v>
      </c>
      <c r="C128" s="4" t="s">
        <v>1466</v>
      </c>
      <c r="D128" s="5" t="s">
        <v>1467</v>
      </c>
      <c r="E128" s="4" t="str">
        <f t="shared" si="1"/>
        <v>+923002692470</v>
      </c>
      <c r="F128" s="4" t="s">
        <v>1468</v>
      </c>
      <c r="G128" s="4" t="s">
        <v>1469</v>
      </c>
      <c r="H128" s="4" t="s">
        <v>1470</v>
      </c>
      <c r="I128" s="4" t="s">
        <v>1470</v>
      </c>
      <c r="J128" s="6" t="str">
        <f>IFERROR(__xludf.DUMMYFUNCTION("TEXT(REGEXREPLACE(I128, ""[^0-9]"", """"), ""00000-0000000-0"")"),"33100-6376959-3")</f>
        <v>33100-6376959-3</v>
      </c>
      <c r="K128" s="7">
        <v>37831.0</v>
      </c>
      <c r="L128" s="4" t="s">
        <v>46</v>
      </c>
      <c r="M128" s="4" t="s">
        <v>1471</v>
      </c>
      <c r="N128" s="4" t="s">
        <v>33</v>
      </c>
      <c r="O128" s="8">
        <v>2070357.0</v>
      </c>
      <c r="P128" s="8">
        <v>232.0</v>
      </c>
      <c r="Q128" s="9">
        <v>93.8636</v>
      </c>
      <c r="R128" s="4" t="s">
        <v>1472</v>
      </c>
      <c r="S128" s="4" t="s">
        <v>1473</v>
      </c>
      <c r="T128" s="5" t="s">
        <v>1474</v>
      </c>
      <c r="U128" s="4" t="s">
        <v>1465</v>
      </c>
      <c r="V128" s="10" t="s">
        <v>1475</v>
      </c>
      <c r="W128" s="10" t="s">
        <v>1476</v>
      </c>
      <c r="X128" s="10" t="s">
        <v>1477</v>
      </c>
      <c r="Y128" s="10" t="s">
        <v>1478</v>
      </c>
      <c r="Z128" s="11" t="s">
        <v>40</v>
      </c>
      <c r="AA128" s="2"/>
      <c r="AB128" s="2"/>
      <c r="AC128" s="2"/>
      <c r="AD128" s="2"/>
      <c r="AE128" s="2"/>
      <c r="AF128" s="2"/>
    </row>
    <row r="129" ht="22.5" customHeight="1">
      <c r="A129" s="12">
        <v>46023.8060587037</v>
      </c>
      <c r="B129" s="13" t="s">
        <v>1479</v>
      </c>
      <c r="C129" s="13" t="s">
        <v>1479</v>
      </c>
      <c r="D129" s="14" t="s">
        <v>1480</v>
      </c>
      <c r="E129" s="13" t="str">
        <f t="shared" si="1"/>
        <v>+923210120066</v>
      </c>
      <c r="F129" s="13" t="s">
        <v>1481</v>
      </c>
      <c r="G129" s="13" t="s">
        <v>1482</v>
      </c>
      <c r="H129" s="13" t="s">
        <v>1483</v>
      </c>
      <c r="I129" s="13" t="s">
        <v>1483</v>
      </c>
      <c r="J129" s="15" t="str">
        <f>IFERROR(__xludf.DUMMYFUNCTION("TEXT(REGEXREPLACE(I129, ""[^0-9]"", """"), ""00000-0000000-0"")"),"33100-1526828-5")</f>
        <v>33100-1526828-5</v>
      </c>
      <c r="K129" s="16">
        <v>39446.0</v>
      </c>
      <c r="L129" s="13" t="s">
        <v>46</v>
      </c>
      <c r="M129" s="13" t="s">
        <v>1484</v>
      </c>
      <c r="N129" s="13" t="s">
        <v>33</v>
      </c>
      <c r="O129" s="17">
        <v>2091060.0</v>
      </c>
      <c r="P129" s="17">
        <v>282.0</v>
      </c>
      <c r="Q129" s="18">
        <v>91.504</v>
      </c>
      <c r="R129" s="13" t="s">
        <v>1485</v>
      </c>
      <c r="S129" s="13" t="s">
        <v>1486</v>
      </c>
      <c r="T129" s="14" t="s">
        <v>1487</v>
      </c>
      <c r="U129" s="13" t="s">
        <v>1488</v>
      </c>
      <c r="V129" s="19" t="s">
        <v>1489</v>
      </c>
      <c r="W129" s="19" t="s">
        <v>1490</v>
      </c>
      <c r="X129" s="19" t="s">
        <v>1491</v>
      </c>
      <c r="Y129" s="19" t="s">
        <v>1492</v>
      </c>
      <c r="Z129" s="20" t="s">
        <v>40</v>
      </c>
      <c r="AA129" s="2"/>
      <c r="AB129" s="2"/>
      <c r="AC129" s="2"/>
      <c r="AD129" s="2"/>
      <c r="AE129" s="2"/>
      <c r="AF129" s="2"/>
    </row>
    <row r="130" ht="22.5" customHeight="1">
      <c r="A130" s="3">
        <v>46023.81795225694</v>
      </c>
      <c r="B130" s="4" t="s">
        <v>1493</v>
      </c>
      <c r="C130" s="4" t="s">
        <v>1493</v>
      </c>
      <c r="D130" s="5" t="s">
        <v>1494</v>
      </c>
      <c r="E130" s="4" t="str">
        <f t="shared" si="1"/>
        <v>+923266883535</v>
      </c>
      <c r="F130" s="4" t="s">
        <v>1495</v>
      </c>
      <c r="G130" s="4" t="s">
        <v>1496</v>
      </c>
      <c r="H130" s="8">
        <v>3.310061798411E12</v>
      </c>
      <c r="I130" s="8">
        <v>3.310061798411E12</v>
      </c>
      <c r="J130" s="21" t="str">
        <f>IFERROR(__xludf.DUMMYFUNCTION("TEXT(REGEXREPLACE(I130, ""[^0-9]"", """"), ""00000-0000000-0"")"),"#VALUE!")</f>
        <v>#VALUE!</v>
      </c>
      <c r="K130" s="7">
        <v>38351.0</v>
      </c>
      <c r="L130" s="4" t="s">
        <v>46</v>
      </c>
      <c r="M130" s="4" t="s">
        <v>1497</v>
      </c>
      <c r="N130" s="4" t="s">
        <v>33</v>
      </c>
      <c r="O130" s="8">
        <v>2070776.0</v>
      </c>
      <c r="P130" s="8">
        <v>17.0</v>
      </c>
      <c r="Q130" s="9">
        <v>94.7864</v>
      </c>
      <c r="R130" s="4" t="s">
        <v>1496</v>
      </c>
      <c r="S130" s="4" t="s">
        <v>34</v>
      </c>
      <c r="T130" s="5" t="s">
        <v>1498</v>
      </c>
      <c r="U130" s="4" t="s">
        <v>1499</v>
      </c>
      <c r="V130" s="10" t="s">
        <v>1500</v>
      </c>
      <c r="W130" s="10" t="s">
        <v>1501</v>
      </c>
      <c r="X130" s="10" t="s">
        <v>1502</v>
      </c>
      <c r="Y130" s="10" t="s">
        <v>1503</v>
      </c>
      <c r="Z130" s="11" t="s">
        <v>40</v>
      </c>
      <c r="AA130" s="2"/>
      <c r="AB130" s="2"/>
      <c r="AC130" s="2"/>
      <c r="AD130" s="2"/>
      <c r="AE130" s="2"/>
      <c r="AF130" s="2"/>
    </row>
    <row r="131" ht="22.5" customHeight="1">
      <c r="A131" s="12">
        <v>46023.8244821875</v>
      </c>
      <c r="B131" s="13" t="s">
        <v>1504</v>
      </c>
      <c r="C131" s="13" t="s">
        <v>1504</v>
      </c>
      <c r="D131" s="14" t="s">
        <v>1505</v>
      </c>
      <c r="E131" s="13" t="str">
        <f t="shared" si="1"/>
        <v>+923212013013</v>
      </c>
      <c r="F131" s="13" t="s">
        <v>1506</v>
      </c>
      <c r="G131" s="13" t="s">
        <v>1507</v>
      </c>
      <c r="H131" s="17">
        <v>3.810262250115E12</v>
      </c>
      <c r="I131" s="17">
        <v>3.810262250115E12</v>
      </c>
      <c r="J131" s="22" t="str">
        <f>IFERROR(__xludf.DUMMYFUNCTION("TEXT(REGEXREPLACE(I131, ""[^0-9]"", """"), ""00000-0000000-0"")"),"#VALUE!")</f>
        <v>#VALUE!</v>
      </c>
      <c r="K131" s="16">
        <v>38640.0</v>
      </c>
      <c r="L131" s="13" t="s">
        <v>46</v>
      </c>
      <c r="M131" s="13" t="s">
        <v>1508</v>
      </c>
      <c r="N131" s="13" t="s">
        <v>33</v>
      </c>
      <c r="O131" s="17">
        <v>7070026.0</v>
      </c>
      <c r="P131" s="17">
        <v>273.0</v>
      </c>
      <c r="Q131" s="18">
        <v>93.5</v>
      </c>
      <c r="R131" s="13" t="s">
        <v>1507</v>
      </c>
      <c r="S131" s="13" t="s">
        <v>34</v>
      </c>
      <c r="T131" s="14" t="s">
        <v>1509</v>
      </c>
      <c r="U131" s="13" t="s">
        <v>1510</v>
      </c>
      <c r="V131" s="19" t="s">
        <v>1511</v>
      </c>
      <c r="W131" s="19" t="s">
        <v>1512</v>
      </c>
      <c r="X131" s="19" t="s">
        <v>1513</v>
      </c>
      <c r="Y131" s="19" t="s">
        <v>1514</v>
      </c>
      <c r="Z131" s="20" t="s">
        <v>40</v>
      </c>
      <c r="AA131" s="2"/>
      <c r="AB131" s="2"/>
      <c r="AC131" s="2"/>
      <c r="AD131" s="2"/>
      <c r="AE131" s="2"/>
      <c r="AF131" s="2"/>
    </row>
    <row r="132" ht="22.5" customHeight="1">
      <c r="A132" s="3">
        <v>46023.8381435301</v>
      </c>
      <c r="B132" s="4" t="s">
        <v>1515</v>
      </c>
      <c r="C132" s="4" t="s">
        <v>1515</v>
      </c>
      <c r="D132" s="4" t="s">
        <v>1516</v>
      </c>
      <c r="E132" s="4" t="str">
        <f t="shared" si="1"/>
        <v>+923134064656</v>
      </c>
      <c r="F132" s="4" t="s">
        <v>1517</v>
      </c>
      <c r="G132" s="4" t="s">
        <v>1518</v>
      </c>
      <c r="H132" s="4" t="s">
        <v>1519</v>
      </c>
      <c r="I132" s="4" t="s">
        <v>1519</v>
      </c>
      <c r="J132" s="6" t="str">
        <f>IFERROR(__xludf.DUMMYFUNCTION("TEXT(REGEXREPLACE(I132, ""[^0-9]"", """"), ""00000-0000000-0"")"),"35303-0392180-9")</f>
        <v>35303-0392180-9</v>
      </c>
      <c r="K132" s="7">
        <v>39020.0</v>
      </c>
      <c r="L132" s="4" t="s">
        <v>46</v>
      </c>
      <c r="M132" s="4" t="s">
        <v>1520</v>
      </c>
      <c r="N132" s="4" t="s">
        <v>33</v>
      </c>
      <c r="O132" s="8">
        <v>8070739.0</v>
      </c>
      <c r="P132" s="8">
        <v>189.0</v>
      </c>
      <c r="Q132" s="9">
        <v>93.91</v>
      </c>
      <c r="R132" s="4" t="s">
        <v>1518</v>
      </c>
      <c r="S132" s="4" t="s">
        <v>34</v>
      </c>
      <c r="T132" s="4" t="s">
        <v>1521</v>
      </c>
      <c r="U132" s="4" t="s">
        <v>1522</v>
      </c>
      <c r="V132" s="10" t="s">
        <v>1523</v>
      </c>
      <c r="W132" s="10" t="s">
        <v>1524</v>
      </c>
      <c r="X132" s="10" t="s">
        <v>1525</v>
      </c>
      <c r="Y132" s="10" t="s">
        <v>1526</v>
      </c>
      <c r="Z132" s="11" t="s">
        <v>40</v>
      </c>
      <c r="AA132" s="2"/>
      <c r="AB132" s="2"/>
      <c r="AC132" s="2"/>
      <c r="AD132" s="2"/>
      <c r="AE132" s="2"/>
      <c r="AF132" s="2"/>
    </row>
    <row r="133" ht="22.5" customHeight="1">
      <c r="A133" s="12">
        <v>46023.83870902778</v>
      </c>
      <c r="B133" s="13" t="s">
        <v>1527</v>
      </c>
      <c r="C133" s="13" t="s">
        <v>1527</v>
      </c>
      <c r="D133" s="14" t="s">
        <v>1528</v>
      </c>
      <c r="E133" s="13" t="str">
        <f t="shared" si="1"/>
        <v>+923366476406</v>
      </c>
      <c r="F133" s="13" t="s">
        <v>1529</v>
      </c>
      <c r="G133" s="13" t="s">
        <v>1530</v>
      </c>
      <c r="H133" s="17">
        <v>3.810132056256E12</v>
      </c>
      <c r="I133" s="17">
        <v>3.810132056256E12</v>
      </c>
      <c r="J133" s="22" t="str">
        <f>IFERROR(__xludf.DUMMYFUNCTION("TEXT(REGEXREPLACE(I133, ""[^0-9]"", """"), ""00000-0000000-0"")"),"#VALUE!")</f>
        <v>#VALUE!</v>
      </c>
      <c r="K133" s="16">
        <v>38398.0</v>
      </c>
      <c r="L133" s="13" t="s">
        <v>31</v>
      </c>
      <c r="M133" s="13" t="s">
        <v>1531</v>
      </c>
      <c r="N133" s="13" t="s">
        <v>33</v>
      </c>
      <c r="O133" s="17">
        <v>2010535.0</v>
      </c>
      <c r="P133" s="17">
        <v>105.0</v>
      </c>
      <c r="Q133" s="18">
        <v>94.1</v>
      </c>
      <c r="R133" s="13" t="s">
        <v>1532</v>
      </c>
      <c r="S133" s="13" t="s">
        <v>34</v>
      </c>
      <c r="T133" s="14" t="s">
        <v>1533</v>
      </c>
      <c r="U133" s="13" t="s">
        <v>1534</v>
      </c>
      <c r="V133" s="19" t="s">
        <v>1535</v>
      </c>
      <c r="W133" s="19" t="s">
        <v>1536</v>
      </c>
      <c r="X133" s="19" t="s">
        <v>1537</v>
      </c>
      <c r="Y133" s="19" t="s">
        <v>1538</v>
      </c>
      <c r="Z133" s="20" t="s">
        <v>40</v>
      </c>
      <c r="AA133" s="2"/>
      <c r="AB133" s="2"/>
      <c r="AC133" s="2"/>
      <c r="AD133" s="2"/>
      <c r="AE133" s="2"/>
      <c r="AF133" s="2"/>
    </row>
    <row r="134" ht="22.5" customHeight="1">
      <c r="A134" s="3">
        <v>46023.840415115745</v>
      </c>
      <c r="B134" s="4" t="s">
        <v>1539</v>
      </c>
      <c r="C134" s="4" t="s">
        <v>1539</v>
      </c>
      <c r="D134" s="5" t="s">
        <v>1540</v>
      </c>
      <c r="E134" s="4" t="str">
        <f t="shared" si="1"/>
        <v>+923137890275</v>
      </c>
      <c r="F134" s="4" t="s">
        <v>1541</v>
      </c>
      <c r="G134" s="4" t="s">
        <v>1542</v>
      </c>
      <c r="H134" s="4" t="s">
        <v>1543</v>
      </c>
      <c r="I134" s="4" t="s">
        <v>1543</v>
      </c>
      <c r="J134" s="6" t="str">
        <f>IFERROR(__xludf.DUMMYFUNCTION("TEXT(REGEXREPLACE(I134, ""[^0-9]"", """"), ""00000-0000000-0"")"),"38101-2029797-1")</f>
        <v>38101-2029797-1</v>
      </c>
      <c r="K134" s="7">
        <v>39595.0</v>
      </c>
      <c r="L134" s="4" t="s">
        <v>46</v>
      </c>
      <c r="M134" s="4" t="s">
        <v>1544</v>
      </c>
      <c r="N134" s="4" t="s">
        <v>1545</v>
      </c>
      <c r="O134" s="8">
        <v>1299389.0</v>
      </c>
      <c r="P134" s="8">
        <v>220.0</v>
      </c>
      <c r="Q134" s="9">
        <v>93.8889</v>
      </c>
      <c r="R134" s="4" t="s">
        <v>1542</v>
      </c>
      <c r="S134" s="4" t="s">
        <v>50</v>
      </c>
      <c r="T134" s="4" t="s">
        <v>1546</v>
      </c>
      <c r="U134" s="4" t="s">
        <v>1547</v>
      </c>
      <c r="V134" s="10" t="s">
        <v>1548</v>
      </c>
      <c r="W134" s="10" t="s">
        <v>1549</v>
      </c>
      <c r="X134" s="10" t="s">
        <v>1550</v>
      </c>
      <c r="Y134" s="10" t="s">
        <v>1551</v>
      </c>
      <c r="Z134" s="11" t="s">
        <v>40</v>
      </c>
      <c r="AA134" s="2"/>
      <c r="AB134" s="2"/>
      <c r="AC134" s="2"/>
      <c r="AD134" s="2"/>
      <c r="AE134" s="2"/>
      <c r="AF134" s="2"/>
    </row>
    <row r="135" ht="22.5" customHeight="1">
      <c r="A135" s="12">
        <v>46023.84778552083</v>
      </c>
      <c r="B135" s="13" t="s">
        <v>1552</v>
      </c>
      <c r="C135" s="13" t="s">
        <v>1552</v>
      </c>
      <c r="D135" s="14" t="s">
        <v>1553</v>
      </c>
      <c r="E135" s="13" t="str">
        <f t="shared" si="1"/>
        <v>+923086652328</v>
      </c>
      <c r="F135" s="13" t="s">
        <v>1554</v>
      </c>
      <c r="G135" s="13" t="s">
        <v>1555</v>
      </c>
      <c r="H135" s="13" t="s">
        <v>1556</v>
      </c>
      <c r="I135" s="13" t="s">
        <v>1556</v>
      </c>
      <c r="J135" s="15" t="str">
        <f>IFERROR(__xludf.DUMMYFUNCTION("TEXT(REGEXREPLACE(I135, ""[^0-9]"", """"), ""00000-0000000-0"")"),"33102-7529106-8")</f>
        <v>33102-7529106-8</v>
      </c>
      <c r="K135" s="16">
        <v>38970.0</v>
      </c>
      <c r="L135" s="13" t="s">
        <v>31</v>
      </c>
      <c r="M135" s="13" t="s">
        <v>1557</v>
      </c>
      <c r="N135" s="13" t="s">
        <v>33</v>
      </c>
      <c r="O135" s="17">
        <v>2010870.0</v>
      </c>
      <c r="P135" s="17">
        <v>49.0</v>
      </c>
      <c r="Q135" s="18">
        <v>95.0</v>
      </c>
      <c r="R135" s="13" t="s">
        <v>1555</v>
      </c>
      <c r="S135" s="13" t="s">
        <v>34</v>
      </c>
      <c r="T135" s="14" t="s">
        <v>1558</v>
      </c>
      <c r="U135" s="13" t="s">
        <v>1559</v>
      </c>
      <c r="V135" s="19" t="s">
        <v>1560</v>
      </c>
      <c r="W135" s="19" t="s">
        <v>1561</v>
      </c>
      <c r="X135" s="19" t="s">
        <v>1562</v>
      </c>
      <c r="Y135" s="19" t="s">
        <v>1563</v>
      </c>
      <c r="Z135" s="20" t="s">
        <v>40</v>
      </c>
      <c r="AA135" s="2"/>
      <c r="AB135" s="2"/>
      <c r="AC135" s="2"/>
      <c r="AD135" s="2"/>
      <c r="AE135" s="2"/>
      <c r="AF135" s="2"/>
    </row>
    <row r="136" ht="22.5" customHeight="1">
      <c r="A136" s="3">
        <v>46023.85321261574</v>
      </c>
      <c r="B136" s="4" t="s">
        <v>764</v>
      </c>
      <c r="C136" s="4" t="s">
        <v>765</v>
      </c>
      <c r="D136" s="5" t="s">
        <v>766</v>
      </c>
      <c r="E136" s="4" t="str">
        <f t="shared" si="1"/>
        <v>+923270669738</v>
      </c>
      <c r="F136" s="4" t="s">
        <v>767</v>
      </c>
      <c r="G136" s="4" t="s">
        <v>768</v>
      </c>
      <c r="H136" s="4" t="s">
        <v>769</v>
      </c>
      <c r="I136" s="4" t="s">
        <v>769</v>
      </c>
      <c r="J136" s="6" t="str">
        <f>IFERROR(__xludf.DUMMYFUNCTION("TEXT(REGEXREPLACE(I136, ""[^0-9]"", """"), ""00000-0000000-0"")"),"33100-1397416-2")</f>
        <v>33100-1397416-2</v>
      </c>
      <c r="K136" s="7">
        <v>39388.0</v>
      </c>
      <c r="L136" s="4" t="s">
        <v>31</v>
      </c>
      <c r="M136" s="4" t="s">
        <v>1564</v>
      </c>
      <c r="N136" s="4" t="s">
        <v>33</v>
      </c>
      <c r="O136" s="8">
        <v>2010800.0</v>
      </c>
      <c r="P136" s="8">
        <v>26.0</v>
      </c>
      <c r="Q136" s="9">
        <v>94.57</v>
      </c>
      <c r="R136" s="4" t="s">
        <v>768</v>
      </c>
      <c r="S136" s="4" t="s">
        <v>34</v>
      </c>
      <c r="T136" s="5" t="s">
        <v>771</v>
      </c>
      <c r="U136" s="4" t="s">
        <v>1565</v>
      </c>
      <c r="V136" s="10" t="s">
        <v>1566</v>
      </c>
      <c r="W136" s="10" t="s">
        <v>1567</v>
      </c>
      <c r="X136" s="10" t="s">
        <v>1568</v>
      </c>
      <c r="Y136" s="10" t="s">
        <v>1569</v>
      </c>
      <c r="Z136" s="11" t="s">
        <v>40</v>
      </c>
      <c r="AA136" s="2"/>
      <c r="AB136" s="2"/>
      <c r="AC136" s="2"/>
      <c r="AD136" s="2"/>
      <c r="AE136" s="2"/>
      <c r="AF136" s="2"/>
    </row>
    <row r="137" ht="22.5" customHeight="1">
      <c r="A137" s="12">
        <v>46023.85884339121</v>
      </c>
      <c r="B137" s="13" t="s">
        <v>975</v>
      </c>
      <c r="C137" s="13" t="s">
        <v>975</v>
      </c>
      <c r="D137" s="14" t="s">
        <v>976</v>
      </c>
      <c r="E137" s="13" t="str">
        <f t="shared" si="1"/>
        <v>+923186304741</v>
      </c>
      <c r="F137" s="13" t="s">
        <v>1570</v>
      </c>
      <c r="G137" s="13" t="s">
        <v>980</v>
      </c>
      <c r="H137" s="17">
        <v>3.310004116321E12</v>
      </c>
      <c r="I137" s="17">
        <v>3.310004116321E12</v>
      </c>
      <c r="J137" s="22" t="str">
        <f>IFERROR(__xludf.DUMMYFUNCTION("TEXT(REGEXREPLACE(I137, ""[^0-9]"", """"), ""00000-0000000-0"")"),"#VALUE!")</f>
        <v>#VALUE!</v>
      </c>
      <c r="K137" s="16">
        <v>39092.0</v>
      </c>
      <c r="L137" s="13" t="s">
        <v>46</v>
      </c>
      <c r="M137" s="13" t="s">
        <v>1571</v>
      </c>
      <c r="N137" s="13" t="s">
        <v>1572</v>
      </c>
      <c r="O137" s="17">
        <v>2090114.0</v>
      </c>
      <c r="P137" s="17">
        <v>47.0</v>
      </c>
      <c r="Q137" s="18">
        <v>94.377</v>
      </c>
      <c r="R137" s="13" t="s">
        <v>980</v>
      </c>
      <c r="S137" s="13" t="s">
        <v>50</v>
      </c>
      <c r="T137" s="14" t="s">
        <v>981</v>
      </c>
      <c r="U137" s="13" t="s">
        <v>982</v>
      </c>
      <c r="V137" s="19" t="s">
        <v>1573</v>
      </c>
      <c r="W137" s="19" t="s">
        <v>1574</v>
      </c>
      <c r="X137" s="19" t="s">
        <v>1575</v>
      </c>
      <c r="Y137" s="19" t="s">
        <v>1576</v>
      </c>
      <c r="Z137" s="20" t="s">
        <v>40</v>
      </c>
      <c r="AA137" s="2"/>
      <c r="AB137" s="2"/>
      <c r="AC137" s="2"/>
      <c r="AD137" s="2"/>
      <c r="AE137" s="2"/>
      <c r="AF137" s="2"/>
    </row>
    <row r="138" ht="22.5" customHeight="1">
      <c r="A138" s="3">
        <v>46023.885738275465</v>
      </c>
      <c r="B138" s="4" t="s">
        <v>1577</v>
      </c>
      <c r="C138" s="4" t="s">
        <v>1577</v>
      </c>
      <c r="D138" s="5" t="s">
        <v>1578</v>
      </c>
      <c r="E138" s="4" t="str">
        <f t="shared" si="1"/>
        <v>+923324318039</v>
      </c>
      <c r="F138" s="4" t="s">
        <v>1579</v>
      </c>
      <c r="G138" s="4" t="s">
        <v>1580</v>
      </c>
      <c r="H138" s="8">
        <v>3.430156802248E12</v>
      </c>
      <c r="I138" s="8">
        <v>3.430156802248E12</v>
      </c>
      <c r="J138" s="21" t="str">
        <f>IFERROR(__xludf.DUMMYFUNCTION("TEXT(REGEXREPLACE(I138, ""[^0-9]"", """"), ""00000-0000000-0"")"),"#VALUE!")</f>
        <v>#VALUE!</v>
      </c>
      <c r="K138" s="7">
        <v>39427.0</v>
      </c>
      <c r="L138" s="4" t="s">
        <v>31</v>
      </c>
      <c r="M138" s="4" t="s">
        <v>1581</v>
      </c>
      <c r="N138" s="4" t="s">
        <v>33</v>
      </c>
      <c r="O138" s="8">
        <v>2010175.0</v>
      </c>
      <c r="P138" s="5" t="s">
        <v>1582</v>
      </c>
      <c r="Q138" s="9">
        <v>95.1778</v>
      </c>
      <c r="R138" s="4" t="s">
        <v>1583</v>
      </c>
      <c r="S138" s="4" t="s">
        <v>34</v>
      </c>
      <c r="T138" s="5" t="s">
        <v>1584</v>
      </c>
      <c r="U138" s="4" t="s">
        <v>1585</v>
      </c>
      <c r="V138" s="25"/>
      <c r="W138" s="25"/>
      <c r="X138" s="25"/>
      <c r="Y138" s="25"/>
      <c r="Z138" s="11" t="s">
        <v>40</v>
      </c>
      <c r="AA138" s="2"/>
      <c r="AB138" s="2"/>
      <c r="AC138" s="2"/>
      <c r="AD138" s="2"/>
      <c r="AE138" s="2"/>
      <c r="AF138" s="2"/>
    </row>
    <row r="139" ht="22.5" customHeight="1">
      <c r="A139" s="12">
        <v>46023.89274444444</v>
      </c>
      <c r="B139" s="13" t="s">
        <v>1586</v>
      </c>
      <c r="C139" s="13" t="s">
        <v>1586</v>
      </c>
      <c r="D139" s="14" t="s">
        <v>1587</v>
      </c>
      <c r="E139" s="13" t="str">
        <f t="shared" si="1"/>
        <v>+923411192933</v>
      </c>
      <c r="F139" s="13" t="s">
        <v>1588</v>
      </c>
      <c r="G139" s="13" t="s">
        <v>1589</v>
      </c>
      <c r="H139" s="13" t="s">
        <v>1590</v>
      </c>
      <c r="I139" s="13" t="s">
        <v>1590</v>
      </c>
      <c r="J139" s="15" t="str">
        <f>IFERROR(__xludf.DUMMYFUNCTION("TEXT(REGEXREPLACE(I139, ""[^0-9]"", """"), ""00000-0000000-0"")"),"33202-5962919-0")</f>
        <v>33202-5962919-0</v>
      </c>
      <c r="K139" s="16">
        <v>36954.0</v>
      </c>
      <c r="L139" s="13" t="s">
        <v>31</v>
      </c>
      <c r="M139" s="13" t="s">
        <v>1591</v>
      </c>
      <c r="N139" s="13" t="s">
        <v>33</v>
      </c>
      <c r="O139" s="17">
        <v>2012870.0</v>
      </c>
      <c r="P139" s="17">
        <v>112.0</v>
      </c>
      <c r="Q139" s="18">
        <v>94.07</v>
      </c>
      <c r="R139" s="13" t="s">
        <v>1592</v>
      </c>
      <c r="S139" s="13" t="s">
        <v>1593</v>
      </c>
      <c r="T139" s="14" t="s">
        <v>1594</v>
      </c>
      <c r="U139" s="13" t="s">
        <v>1595</v>
      </c>
      <c r="V139" s="19" t="s">
        <v>1596</v>
      </c>
      <c r="W139" s="19" t="s">
        <v>1597</v>
      </c>
      <c r="X139" s="19" t="s">
        <v>1598</v>
      </c>
      <c r="Y139" s="19" t="s">
        <v>1599</v>
      </c>
      <c r="Z139" s="20" t="s">
        <v>40</v>
      </c>
      <c r="AA139" s="2"/>
      <c r="AB139" s="2"/>
      <c r="AC139" s="2"/>
      <c r="AD139" s="2"/>
      <c r="AE139" s="2"/>
      <c r="AF139" s="2"/>
    </row>
    <row r="140" ht="22.5" customHeight="1">
      <c r="A140" s="3">
        <v>46023.89596425926</v>
      </c>
      <c r="B140" s="4" t="s">
        <v>1600</v>
      </c>
      <c r="C140" s="4" t="s">
        <v>1601</v>
      </c>
      <c r="D140" s="5" t="s">
        <v>1602</v>
      </c>
      <c r="E140" s="4" t="str">
        <f t="shared" si="1"/>
        <v>+923236063574</v>
      </c>
      <c r="F140" s="4" t="s">
        <v>1603</v>
      </c>
      <c r="G140" s="4" t="s">
        <v>1604</v>
      </c>
      <c r="H140" s="4" t="s">
        <v>1605</v>
      </c>
      <c r="I140" s="4" t="s">
        <v>1605</v>
      </c>
      <c r="J140" s="6" t="str">
        <f>IFERROR(__xludf.DUMMYFUNCTION("TEXT(REGEXREPLACE(I140, ""[^0-9]"", """"), ""00000-0000000-0"")"),"61101-8786817-6")</f>
        <v>61101-8786817-6</v>
      </c>
      <c r="K140" s="7">
        <v>39578.0</v>
      </c>
      <c r="L140" s="4" t="s">
        <v>31</v>
      </c>
      <c r="M140" s="4" t="s">
        <v>1606</v>
      </c>
      <c r="N140" s="4" t="s">
        <v>33</v>
      </c>
      <c r="O140" s="8">
        <v>2011195.0</v>
      </c>
      <c r="P140" s="8">
        <v>14.0</v>
      </c>
      <c r="Q140" s="9">
        <v>94.903</v>
      </c>
      <c r="R140" s="4" t="s">
        <v>1607</v>
      </c>
      <c r="S140" s="4" t="s">
        <v>95</v>
      </c>
      <c r="T140" s="5" t="s">
        <v>1608</v>
      </c>
      <c r="U140" s="4" t="s">
        <v>1609</v>
      </c>
      <c r="V140" s="10" t="s">
        <v>1610</v>
      </c>
      <c r="W140" s="10" t="s">
        <v>1611</v>
      </c>
      <c r="X140" s="10" t="s">
        <v>1612</v>
      </c>
      <c r="Y140" s="10" t="s">
        <v>1613</v>
      </c>
      <c r="Z140" s="11" t="s">
        <v>40</v>
      </c>
      <c r="AA140" s="2"/>
      <c r="AB140" s="2"/>
      <c r="AC140" s="2"/>
      <c r="AD140" s="2"/>
      <c r="AE140" s="2"/>
      <c r="AF140" s="2"/>
    </row>
    <row r="141" ht="22.5" customHeight="1">
      <c r="A141" s="12">
        <v>46023.89964121528</v>
      </c>
      <c r="B141" s="13" t="s">
        <v>1614</v>
      </c>
      <c r="C141" s="13" t="s">
        <v>1614</v>
      </c>
      <c r="D141" s="13" t="s">
        <v>1615</v>
      </c>
      <c r="E141" s="24" t="str">
        <f t="shared" si="1"/>
        <v>++923147989690</v>
      </c>
      <c r="F141" s="13" t="s">
        <v>1616</v>
      </c>
      <c r="G141" s="13" t="s">
        <v>1617</v>
      </c>
      <c r="H141" s="17">
        <v>3.310285114308E12</v>
      </c>
      <c r="I141" s="17">
        <v>3.310285114308E12</v>
      </c>
      <c r="J141" s="22" t="str">
        <f>IFERROR(__xludf.DUMMYFUNCTION("TEXT(REGEXREPLACE(I141, ""[^0-9]"", """"), ""00000-0000000-0"")"),"#VALUE!")</f>
        <v>#VALUE!</v>
      </c>
      <c r="K141" s="16">
        <v>39118.0</v>
      </c>
      <c r="L141" s="13" t="s">
        <v>31</v>
      </c>
      <c r="M141" s="13" t="s">
        <v>1618</v>
      </c>
      <c r="N141" s="13" t="s">
        <v>33</v>
      </c>
      <c r="O141" s="17">
        <v>2010941.0</v>
      </c>
      <c r="P141" s="17">
        <v>70.0</v>
      </c>
      <c r="Q141" s="18">
        <v>93.0</v>
      </c>
      <c r="R141" s="13" t="s">
        <v>1617</v>
      </c>
      <c r="S141" s="13" t="s">
        <v>34</v>
      </c>
      <c r="T141" s="13" t="s">
        <v>1619</v>
      </c>
      <c r="U141" s="13" t="s">
        <v>1620</v>
      </c>
      <c r="V141" s="19" t="s">
        <v>1621</v>
      </c>
      <c r="W141" s="19" t="s">
        <v>1622</v>
      </c>
      <c r="X141" s="19" t="s">
        <v>1623</v>
      </c>
      <c r="Y141" s="23"/>
      <c r="Z141" s="20" t="s">
        <v>40</v>
      </c>
      <c r="AA141" s="2"/>
      <c r="AB141" s="2"/>
      <c r="AC141" s="2"/>
      <c r="AD141" s="2"/>
      <c r="AE141" s="2"/>
      <c r="AF141" s="2"/>
    </row>
    <row r="142" ht="22.5" customHeight="1">
      <c r="A142" s="3">
        <v>46023.90678282407</v>
      </c>
      <c r="B142" s="4" t="s">
        <v>1609</v>
      </c>
      <c r="C142" s="4" t="s">
        <v>1609</v>
      </c>
      <c r="D142" s="5" t="s">
        <v>1608</v>
      </c>
      <c r="E142" s="4" t="str">
        <f t="shared" si="1"/>
        <v>+923217843767</v>
      </c>
      <c r="F142" s="4" t="s">
        <v>1624</v>
      </c>
      <c r="G142" s="4" t="s">
        <v>1604</v>
      </c>
      <c r="H142" s="4" t="s">
        <v>1625</v>
      </c>
      <c r="I142" s="4" t="s">
        <v>1625</v>
      </c>
      <c r="J142" s="6" t="str">
        <f>IFERROR(__xludf.DUMMYFUNCTION("TEXT(REGEXREPLACE(I142, ""[^0-9]"", """"), ""00000-0000000-0"")"),"61101-0867247-4")</f>
        <v>61101-0867247-4</v>
      </c>
      <c r="K142" s="7">
        <v>39243.0</v>
      </c>
      <c r="L142" s="4" t="s">
        <v>31</v>
      </c>
      <c r="M142" s="4" t="s">
        <v>1606</v>
      </c>
      <c r="N142" s="4" t="s">
        <v>33</v>
      </c>
      <c r="O142" s="8">
        <v>2013305.0</v>
      </c>
      <c r="P142" s="8">
        <v>160.0</v>
      </c>
      <c r="Q142" s="9">
        <v>93.9591</v>
      </c>
      <c r="R142" s="4" t="s">
        <v>1607</v>
      </c>
      <c r="S142" s="4" t="s">
        <v>95</v>
      </c>
      <c r="T142" s="5" t="s">
        <v>1602</v>
      </c>
      <c r="U142" s="4" t="s">
        <v>1600</v>
      </c>
      <c r="V142" s="10" t="s">
        <v>1626</v>
      </c>
      <c r="W142" s="10" t="s">
        <v>1627</v>
      </c>
      <c r="X142" s="10" t="s">
        <v>1628</v>
      </c>
      <c r="Y142" s="10" t="s">
        <v>1629</v>
      </c>
      <c r="Z142" s="11" t="s">
        <v>40</v>
      </c>
      <c r="AA142" s="2"/>
      <c r="AB142" s="2"/>
      <c r="AC142" s="2"/>
      <c r="AD142" s="2"/>
      <c r="AE142" s="2"/>
      <c r="AF142" s="2"/>
    </row>
    <row r="143" ht="22.5" customHeight="1">
      <c r="A143" s="12">
        <v>46023.91404478009</v>
      </c>
      <c r="B143" s="13" t="s">
        <v>1630</v>
      </c>
      <c r="C143" s="13" t="s">
        <v>1630</v>
      </c>
      <c r="D143" s="14" t="s">
        <v>1631</v>
      </c>
      <c r="E143" s="13" t="str">
        <f t="shared" si="1"/>
        <v>+923025720955</v>
      </c>
      <c r="F143" s="13" t="s">
        <v>1632</v>
      </c>
      <c r="G143" s="13" t="s">
        <v>1633</v>
      </c>
      <c r="H143" s="13" t="s">
        <v>1634</v>
      </c>
      <c r="I143" s="13" t="s">
        <v>1634</v>
      </c>
      <c r="J143" s="15" t="str">
        <f>IFERROR(__xludf.DUMMYFUNCTION("TEXT(REGEXREPLACE(I143, ""[^0-9]"", """"), ""00000-0000000-0"")"),"35503-0155664-7")</f>
        <v>35503-0155664-7</v>
      </c>
      <c r="K143" s="16">
        <v>39150.0</v>
      </c>
      <c r="L143" s="13" t="s">
        <v>46</v>
      </c>
      <c r="M143" s="13" t="s">
        <v>1635</v>
      </c>
      <c r="N143" s="13" t="s">
        <v>33</v>
      </c>
      <c r="O143" s="17">
        <v>2091108.0</v>
      </c>
      <c r="P143" s="17">
        <v>61.0</v>
      </c>
      <c r="Q143" s="18">
        <v>92.7778</v>
      </c>
      <c r="R143" s="13" t="s">
        <v>1633</v>
      </c>
      <c r="S143" s="13" t="s">
        <v>34</v>
      </c>
      <c r="T143" s="14" t="s">
        <v>1636</v>
      </c>
      <c r="U143" s="13" t="s">
        <v>1637</v>
      </c>
      <c r="V143" s="19" t="s">
        <v>1638</v>
      </c>
      <c r="W143" s="19" t="s">
        <v>1639</v>
      </c>
      <c r="X143" s="19" t="s">
        <v>1640</v>
      </c>
      <c r="Y143" s="19" t="s">
        <v>1641</v>
      </c>
      <c r="Z143" s="20" t="s">
        <v>40</v>
      </c>
      <c r="AA143" s="2"/>
      <c r="AB143" s="2"/>
      <c r="AC143" s="2"/>
      <c r="AD143" s="2"/>
      <c r="AE143" s="2"/>
      <c r="AF143" s="2"/>
    </row>
    <row r="144" ht="22.5" customHeight="1">
      <c r="A144" s="3">
        <v>46023.91964003472</v>
      </c>
      <c r="B144" s="4" t="s">
        <v>1642</v>
      </c>
      <c r="C144" s="4" t="s">
        <v>1642</v>
      </c>
      <c r="D144" s="5" t="s">
        <v>1643</v>
      </c>
      <c r="E144" s="4" t="str">
        <f t="shared" si="1"/>
        <v>+923231234029</v>
      </c>
      <c r="F144" s="4" t="s">
        <v>1644</v>
      </c>
      <c r="G144" s="4" t="s">
        <v>1645</v>
      </c>
      <c r="H144" s="4" t="s">
        <v>1646</v>
      </c>
      <c r="I144" s="4" t="s">
        <v>1646</v>
      </c>
      <c r="J144" s="6" t="str">
        <f>IFERROR(__xludf.DUMMYFUNCTION("TEXT(REGEXREPLACE(I144, ""[^0-9]"", """"), ""00000-0000000-0"")"),"33102-3347784-6")</f>
        <v>33102-3347784-6</v>
      </c>
      <c r="K144" s="7">
        <v>38523.0</v>
      </c>
      <c r="L144" s="4" t="s">
        <v>31</v>
      </c>
      <c r="M144" s="4" t="s">
        <v>1647</v>
      </c>
      <c r="N144" s="4" t="s">
        <v>33</v>
      </c>
      <c r="O144" s="8">
        <v>2010900.0</v>
      </c>
      <c r="P144" s="8">
        <v>74.0</v>
      </c>
      <c r="Q144" s="9">
        <v>94.2364</v>
      </c>
      <c r="R144" s="4" t="s">
        <v>1648</v>
      </c>
      <c r="S144" s="4" t="s">
        <v>34</v>
      </c>
      <c r="T144" s="5" t="s">
        <v>1649</v>
      </c>
      <c r="U144" s="4" t="s">
        <v>1650</v>
      </c>
      <c r="V144" s="10" t="s">
        <v>1651</v>
      </c>
      <c r="W144" s="10" t="s">
        <v>1652</v>
      </c>
      <c r="X144" s="10" t="s">
        <v>1653</v>
      </c>
      <c r="Y144" s="10" t="s">
        <v>1654</v>
      </c>
      <c r="Z144" s="11" t="s">
        <v>40</v>
      </c>
      <c r="AA144" s="2"/>
      <c r="AB144" s="2"/>
      <c r="AC144" s="2"/>
      <c r="AD144" s="2"/>
      <c r="AE144" s="2"/>
      <c r="AF144" s="2"/>
    </row>
    <row r="145" ht="22.5" customHeight="1">
      <c r="A145" s="12">
        <v>46023.93434361111</v>
      </c>
      <c r="B145" s="13" t="s">
        <v>1655</v>
      </c>
      <c r="C145" s="13" t="s">
        <v>1655</v>
      </c>
      <c r="D145" s="13" t="s">
        <v>1656</v>
      </c>
      <c r="E145" s="24" t="str">
        <f t="shared" si="1"/>
        <v>+92330-3412193</v>
      </c>
      <c r="F145" s="13" t="s">
        <v>1657</v>
      </c>
      <c r="G145" s="13" t="s">
        <v>465</v>
      </c>
      <c r="H145" s="13" t="s">
        <v>1658</v>
      </c>
      <c r="I145" s="13" t="s">
        <v>1658</v>
      </c>
      <c r="J145" s="15" t="str">
        <f>IFERROR(__xludf.DUMMYFUNCTION("TEXT(REGEXREPLACE(I145, ""[^0-9]"", """"), ""00000-0000000-0"")"),"33105-6107190-6")</f>
        <v>33105-6107190-6</v>
      </c>
      <c r="K145" s="16">
        <v>38652.0</v>
      </c>
      <c r="L145" s="13" t="s">
        <v>31</v>
      </c>
      <c r="M145" s="13" t="s">
        <v>1659</v>
      </c>
      <c r="N145" s="13" t="s">
        <v>33</v>
      </c>
      <c r="O145" s="17">
        <v>2010459.0</v>
      </c>
      <c r="P145" s="17">
        <v>63.0</v>
      </c>
      <c r="Q145" s="18">
        <v>94.2768</v>
      </c>
      <c r="R145" s="13" t="s">
        <v>465</v>
      </c>
      <c r="S145" s="13" t="s">
        <v>34</v>
      </c>
      <c r="T145" s="13" t="s">
        <v>1660</v>
      </c>
      <c r="U145" s="13" t="s">
        <v>1661</v>
      </c>
      <c r="V145" s="19" t="s">
        <v>1662</v>
      </c>
      <c r="W145" s="19" t="s">
        <v>1663</v>
      </c>
      <c r="X145" s="19" t="s">
        <v>1664</v>
      </c>
      <c r="Y145" s="19" t="s">
        <v>1665</v>
      </c>
      <c r="Z145" s="20" t="s">
        <v>40</v>
      </c>
      <c r="AA145" s="2"/>
      <c r="AB145" s="2"/>
      <c r="AC145" s="2"/>
      <c r="AD145" s="2"/>
      <c r="AE145" s="2"/>
      <c r="AF145" s="2"/>
    </row>
    <row r="146" ht="22.5" customHeight="1">
      <c r="A146" s="3">
        <v>46023.9715728588</v>
      </c>
      <c r="B146" s="4" t="s">
        <v>1666</v>
      </c>
      <c r="C146" s="4" t="s">
        <v>1666</v>
      </c>
      <c r="D146" s="4" t="s">
        <v>1667</v>
      </c>
      <c r="E146" s="4" t="str">
        <f t="shared" si="1"/>
        <v>+923007287664</v>
      </c>
      <c r="F146" s="4" t="s">
        <v>1668</v>
      </c>
      <c r="G146" s="4" t="s">
        <v>1669</v>
      </c>
      <c r="H146" s="4" t="s">
        <v>1670</v>
      </c>
      <c r="I146" s="4" t="s">
        <v>1670</v>
      </c>
      <c r="J146" s="6" t="str">
        <f>IFERROR(__xludf.DUMMYFUNCTION("TEXT(REGEXREPLACE(I146, ""[^0-9]"", """"), ""00000-0000000-0"")"),"33103-4642438-6")</f>
        <v>33103-4642438-6</v>
      </c>
      <c r="K146" s="7">
        <v>39098.0</v>
      </c>
      <c r="L146" s="4" t="s">
        <v>31</v>
      </c>
      <c r="M146" s="4" t="s">
        <v>1671</v>
      </c>
      <c r="N146" s="4" t="s">
        <v>33</v>
      </c>
      <c r="O146" s="8">
        <v>2011793.0</v>
      </c>
      <c r="P146" s="8">
        <v>23.0</v>
      </c>
      <c r="Q146" s="9">
        <v>94.6586</v>
      </c>
      <c r="R146" s="4" t="s">
        <v>1669</v>
      </c>
      <c r="S146" s="4" t="s">
        <v>34</v>
      </c>
      <c r="T146" s="4" t="s">
        <v>1672</v>
      </c>
      <c r="U146" s="4" t="s">
        <v>1673</v>
      </c>
      <c r="V146" s="10" t="s">
        <v>1674</v>
      </c>
      <c r="W146" s="10" t="s">
        <v>1675</v>
      </c>
      <c r="X146" s="10" t="s">
        <v>1676</v>
      </c>
      <c r="Y146" s="10" t="s">
        <v>1677</v>
      </c>
      <c r="Z146" s="11" t="s">
        <v>40</v>
      </c>
      <c r="AA146" s="2"/>
      <c r="AB146" s="2"/>
      <c r="AC146" s="2"/>
      <c r="AD146" s="2"/>
      <c r="AE146" s="2"/>
      <c r="AF146" s="2"/>
    </row>
    <row r="147" ht="22.5" customHeight="1">
      <c r="A147" s="12">
        <v>46023.99238953704</v>
      </c>
      <c r="B147" s="13" t="s">
        <v>1678</v>
      </c>
      <c r="C147" s="13" t="s">
        <v>1678</v>
      </c>
      <c r="D147" s="14" t="s">
        <v>1679</v>
      </c>
      <c r="E147" s="13" t="str">
        <f t="shared" si="1"/>
        <v>+923030111987</v>
      </c>
      <c r="F147" s="13" t="s">
        <v>1680</v>
      </c>
      <c r="G147" s="13" t="s">
        <v>1681</v>
      </c>
      <c r="H147" s="13" t="s">
        <v>1682</v>
      </c>
      <c r="I147" s="13" t="s">
        <v>1682</v>
      </c>
      <c r="J147" s="15" t="str">
        <f>IFERROR(__xludf.DUMMYFUNCTION("TEXT(REGEXREPLACE(I147, ""[^0-9]"", """"), ""00000-0000000-0"")"),"33100-9705269-8")</f>
        <v>33100-9705269-8</v>
      </c>
      <c r="K147" s="16">
        <v>38667.0</v>
      </c>
      <c r="L147" s="13" t="s">
        <v>31</v>
      </c>
      <c r="M147" s="13" t="s">
        <v>1683</v>
      </c>
      <c r="N147" s="13" t="s">
        <v>33</v>
      </c>
      <c r="O147" s="17">
        <v>2012827.0</v>
      </c>
      <c r="P147" s="17">
        <v>136.0</v>
      </c>
      <c r="Q147" s="18">
        <v>94.0045</v>
      </c>
      <c r="R147" s="13" t="s">
        <v>1681</v>
      </c>
      <c r="S147" s="13" t="s">
        <v>34</v>
      </c>
      <c r="T147" s="14" t="s">
        <v>1684</v>
      </c>
      <c r="U147" s="13" t="s">
        <v>1678</v>
      </c>
      <c r="V147" s="19" t="s">
        <v>1685</v>
      </c>
      <c r="W147" s="19" t="s">
        <v>1686</v>
      </c>
      <c r="X147" s="19" t="s">
        <v>1687</v>
      </c>
      <c r="Y147" s="23"/>
      <c r="Z147" s="20" t="s">
        <v>40</v>
      </c>
      <c r="AA147" s="2"/>
      <c r="AB147" s="2"/>
      <c r="AC147" s="2"/>
      <c r="AD147" s="2"/>
      <c r="AE147" s="2"/>
      <c r="AF147" s="2"/>
    </row>
    <row r="148" ht="22.5" customHeight="1">
      <c r="A148" s="3">
        <v>46023.99697050926</v>
      </c>
      <c r="B148" s="4" t="s">
        <v>1688</v>
      </c>
      <c r="C148" s="4" t="s">
        <v>1688</v>
      </c>
      <c r="D148" s="5" t="s">
        <v>1689</v>
      </c>
      <c r="E148" s="4" t="str">
        <f t="shared" si="1"/>
        <v>+923442922278</v>
      </c>
      <c r="F148" s="4" t="s">
        <v>1690</v>
      </c>
      <c r="G148" s="4" t="s">
        <v>1691</v>
      </c>
      <c r="H148" s="8">
        <v>3.320245149583E12</v>
      </c>
      <c r="I148" s="8">
        <v>3.320245149583E12</v>
      </c>
      <c r="J148" s="21" t="str">
        <f>IFERROR(__xludf.DUMMYFUNCTION("TEXT(REGEXREPLACE(I148, ""[^0-9]"", """"), ""00000-0000000-0"")"),"#VALUE!")</f>
        <v>#VALUE!</v>
      </c>
      <c r="K148" s="7">
        <v>38811.0</v>
      </c>
      <c r="L148" s="4" t="s">
        <v>46</v>
      </c>
      <c r="M148" s="4" t="s">
        <v>1692</v>
      </c>
      <c r="N148" s="4" t="s">
        <v>48</v>
      </c>
      <c r="O148" s="8">
        <v>1071876.0</v>
      </c>
      <c r="P148" s="8">
        <v>200.0</v>
      </c>
      <c r="Q148" s="9">
        <v>93.9</v>
      </c>
      <c r="R148" s="4" t="s">
        <v>1691</v>
      </c>
      <c r="S148" s="4" t="s">
        <v>50</v>
      </c>
      <c r="T148" s="5" t="s">
        <v>1693</v>
      </c>
      <c r="U148" s="4" t="s">
        <v>1694</v>
      </c>
      <c r="V148" s="10" t="s">
        <v>1695</v>
      </c>
      <c r="W148" s="10" t="s">
        <v>1696</v>
      </c>
      <c r="X148" s="10" t="s">
        <v>1697</v>
      </c>
      <c r="Y148" s="10" t="s">
        <v>1698</v>
      </c>
      <c r="Z148" s="11" t="s">
        <v>40</v>
      </c>
      <c r="AA148" s="2"/>
      <c r="AB148" s="2"/>
      <c r="AC148" s="2"/>
      <c r="AD148" s="2"/>
      <c r="AE148" s="2"/>
      <c r="AF148" s="2"/>
    </row>
    <row r="149" ht="22.5" customHeight="1">
      <c r="A149" s="12">
        <v>46024.01033409723</v>
      </c>
      <c r="B149" s="13" t="s">
        <v>1699</v>
      </c>
      <c r="C149" s="13" t="s">
        <v>1699</v>
      </c>
      <c r="D149" s="14" t="s">
        <v>1700</v>
      </c>
      <c r="E149" s="13" t="str">
        <f t="shared" si="1"/>
        <v>+923181659941</v>
      </c>
      <c r="F149" s="13" t="s">
        <v>1701</v>
      </c>
      <c r="G149" s="13" t="s">
        <v>1702</v>
      </c>
      <c r="H149" s="17">
        <v>3.640262298679E12</v>
      </c>
      <c r="I149" s="17">
        <v>3.640262298679E12</v>
      </c>
      <c r="J149" s="22" t="str">
        <f>IFERROR(__xludf.DUMMYFUNCTION("TEXT(REGEXREPLACE(I149, ""[^0-9]"", """"), ""00000-0000000-0"")"),"#VALUE!")</f>
        <v>#VALUE!</v>
      </c>
      <c r="K149" s="16">
        <v>37682.0</v>
      </c>
      <c r="L149" s="13" t="s">
        <v>46</v>
      </c>
      <c r="M149" s="13" t="s">
        <v>1703</v>
      </c>
      <c r="N149" s="13" t="s">
        <v>33</v>
      </c>
      <c r="O149" s="17">
        <v>8070019.0</v>
      </c>
      <c r="P149" s="17">
        <v>258.0</v>
      </c>
      <c r="Q149" s="18">
        <v>93.8318</v>
      </c>
      <c r="R149" s="13" t="s">
        <v>1704</v>
      </c>
      <c r="S149" s="13" t="s">
        <v>34</v>
      </c>
      <c r="T149" s="14" t="s">
        <v>1700</v>
      </c>
      <c r="U149" s="23"/>
      <c r="V149" s="19" t="s">
        <v>1705</v>
      </c>
      <c r="W149" s="19" t="s">
        <v>1706</v>
      </c>
      <c r="X149" s="19" t="s">
        <v>1707</v>
      </c>
      <c r="Y149" s="19" t="s">
        <v>1708</v>
      </c>
      <c r="Z149" s="20" t="s">
        <v>40</v>
      </c>
      <c r="AA149" s="2"/>
      <c r="AB149" s="2"/>
      <c r="AC149" s="2"/>
      <c r="AD149" s="2"/>
      <c r="AE149" s="2"/>
      <c r="AF149" s="2"/>
    </row>
    <row r="150" ht="22.5" customHeight="1">
      <c r="A150" s="3">
        <v>46024.01547375</v>
      </c>
      <c r="B150" s="4" t="s">
        <v>1709</v>
      </c>
      <c r="C150" s="4" t="s">
        <v>1709</v>
      </c>
      <c r="D150" s="4" t="s">
        <v>1710</v>
      </c>
      <c r="E150" s="26" t="str">
        <f t="shared" si="1"/>
        <v>+92329-5244483</v>
      </c>
      <c r="F150" s="4" t="s">
        <v>1711</v>
      </c>
      <c r="G150" s="4" t="s">
        <v>1712</v>
      </c>
      <c r="H150" s="4" t="s">
        <v>1713</v>
      </c>
      <c r="I150" s="4" t="s">
        <v>1713</v>
      </c>
      <c r="J150" s="6" t="str">
        <f>IFERROR(__xludf.DUMMYFUNCTION("TEXT(REGEXREPLACE(I150, ""[^0-9]"", """"), ""00000-0000000-0"")"),"35202-8412970-3")</f>
        <v>35202-8412970-3</v>
      </c>
      <c r="K150" s="7">
        <v>39018.0</v>
      </c>
      <c r="L150" s="4" t="s">
        <v>46</v>
      </c>
      <c r="M150" s="4" t="s">
        <v>1714</v>
      </c>
      <c r="N150" s="4" t="s">
        <v>33</v>
      </c>
      <c r="O150" s="8">
        <v>3006107.0</v>
      </c>
      <c r="P150" s="8">
        <v>201.0</v>
      </c>
      <c r="Q150" s="9">
        <v>93.9</v>
      </c>
      <c r="R150" s="4" t="s">
        <v>1715</v>
      </c>
      <c r="S150" s="4" t="s">
        <v>50</v>
      </c>
      <c r="T150" s="4" t="s">
        <v>1716</v>
      </c>
      <c r="U150" s="4" t="s">
        <v>1717</v>
      </c>
      <c r="V150" s="10" t="s">
        <v>1718</v>
      </c>
      <c r="W150" s="10" t="s">
        <v>1719</v>
      </c>
      <c r="X150" s="10" t="s">
        <v>1720</v>
      </c>
      <c r="Y150" s="10" t="s">
        <v>1721</v>
      </c>
      <c r="Z150" s="11" t="s">
        <v>40</v>
      </c>
      <c r="AA150" s="2"/>
      <c r="AB150" s="2"/>
      <c r="AC150" s="2"/>
      <c r="AD150" s="2"/>
      <c r="AE150" s="2"/>
      <c r="AF150" s="2"/>
    </row>
    <row r="151" ht="22.5" customHeight="1">
      <c r="A151" s="12">
        <v>46024.020414803235</v>
      </c>
      <c r="B151" s="13" t="s">
        <v>1722</v>
      </c>
      <c r="C151" s="13" t="s">
        <v>1722</v>
      </c>
      <c r="D151" s="14" t="s">
        <v>1723</v>
      </c>
      <c r="E151" s="13" t="str">
        <f t="shared" si="1"/>
        <v>+923289697909</v>
      </c>
      <c r="F151" s="13" t="s">
        <v>1724</v>
      </c>
      <c r="G151" s="13" t="s">
        <v>1518</v>
      </c>
      <c r="H151" s="17">
        <v>3.240314543539E12</v>
      </c>
      <c r="I151" s="17">
        <v>3.240314543539E12</v>
      </c>
      <c r="J151" s="22" t="str">
        <f>IFERROR(__xludf.DUMMYFUNCTION("TEXT(REGEXREPLACE(I151, ""[^0-9]"", """"), ""00000-0000000-0"")"),"#VALUE!")</f>
        <v>#VALUE!</v>
      </c>
      <c r="K151" s="16">
        <v>38385.0</v>
      </c>
      <c r="L151" s="13" t="s">
        <v>46</v>
      </c>
      <c r="M151" s="13" t="s">
        <v>1725</v>
      </c>
      <c r="N151" s="13" t="s">
        <v>48</v>
      </c>
      <c r="O151" s="17">
        <v>1072899.0</v>
      </c>
      <c r="P151" s="17">
        <v>139.0</v>
      </c>
      <c r="Q151" s="18">
        <v>95.0</v>
      </c>
      <c r="R151" s="14" t="s">
        <v>1726</v>
      </c>
      <c r="S151" s="13" t="s">
        <v>259</v>
      </c>
      <c r="T151" s="14" t="s">
        <v>1727</v>
      </c>
      <c r="U151" s="13" t="s">
        <v>1728</v>
      </c>
      <c r="V151" s="19" t="s">
        <v>1729</v>
      </c>
      <c r="W151" s="19" t="s">
        <v>1730</v>
      </c>
      <c r="X151" s="19" t="s">
        <v>1731</v>
      </c>
      <c r="Y151" s="19" t="s">
        <v>1732</v>
      </c>
      <c r="Z151" s="20" t="s">
        <v>40</v>
      </c>
      <c r="AA151" s="2"/>
      <c r="AB151" s="2"/>
      <c r="AC151" s="2"/>
      <c r="AD151" s="2"/>
      <c r="AE151" s="2"/>
      <c r="AF151" s="2"/>
    </row>
    <row r="152" ht="22.5" customHeight="1">
      <c r="A152" s="3">
        <v>46024.07239253473</v>
      </c>
      <c r="B152" s="4" t="s">
        <v>1733</v>
      </c>
      <c r="C152" s="4" t="s">
        <v>1734</v>
      </c>
      <c r="D152" s="4" t="s">
        <v>1735</v>
      </c>
      <c r="E152" s="26" t="str">
        <f t="shared" si="1"/>
        <v>+92306-6057932</v>
      </c>
      <c r="F152" s="4" t="s">
        <v>1736</v>
      </c>
      <c r="G152" s="4" t="s">
        <v>1737</v>
      </c>
      <c r="H152" s="4" t="s">
        <v>1738</v>
      </c>
      <c r="I152" s="4" t="s">
        <v>1738</v>
      </c>
      <c r="J152" s="6" t="str">
        <f>IFERROR(__xludf.DUMMYFUNCTION("TEXT(REGEXREPLACE(I152, ""[^0-9]"", """"), ""00000-0000000-0"")"),"33102-0204887-8")</f>
        <v>33102-0204887-8</v>
      </c>
      <c r="K152" s="7">
        <v>38986.0</v>
      </c>
      <c r="L152" s="4" t="s">
        <v>31</v>
      </c>
      <c r="M152" s="4" t="s">
        <v>1739</v>
      </c>
      <c r="N152" s="4" t="s">
        <v>48</v>
      </c>
      <c r="O152" s="8">
        <v>2011317.0</v>
      </c>
      <c r="P152" s="8">
        <v>142.0</v>
      </c>
      <c r="Q152" s="9">
        <v>94.444</v>
      </c>
      <c r="R152" s="4" t="s">
        <v>1740</v>
      </c>
      <c r="S152" s="4" t="s">
        <v>778</v>
      </c>
      <c r="T152" s="4" t="s">
        <v>1741</v>
      </c>
      <c r="U152" s="4" t="s">
        <v>1742</v>
      </c>
      <c r="V152" s="10" t="s">
        <v>1743</v>
      </c>
      <c r="W152" s="10" t="s">
        <v>1744</v>
      </c>
      <c r="X152" s="10" t="s">
        <v>1745</v>
      </c>
      <c r="Y152" s="10" t="s">
        <v>1746</v>
      </c>
      <c r="Z152" s="11" t="s">
        <v>40</v>
      </c>
      <c r="AA152" s="2"/>
      <c r="AB152" s="2"/>
      <c r="AC152" s="2"/>
      <c r="AD152" s="2"/>
      <c r="AE152" s="2"/>
      <c r="AF152" s="2"/>
    </row>
    <row r="153" ht="22.5" customHeight="1">
      <c r="A153" s="12">
        <v>46024.10950752315</v>
      </c>
      <c r="B153" s="13" t="s">
        <v>1747</v>
      </c>
      <c r="C153" s="13" t="s">
        <v>1747</v>
      </c>
      <c r="D153" s="14" t="s">
        <v>1748</v>
      </c>
      <c r="E153" s="13" t="str">
        <f t="shared" si="1"/>
        <v>+923218178047</v>
      </c>
      <c r="F153" s="13" t="s">
        <v>1749</v>
      </c>
      <c r="G153" s="13" t="s">
        <v>1750</v>
      </c>
      <c r="H153" s="13" t="s">
        <v>1751</v>
      </c>
      <c r="I153" s="13" t="s">
        <v>1751</v>
      </c>
      <c r="J153" s="15" t="str">
        <f>IFERROR(__xludf.DUMMYFUNCTION("TEXT(REGEXREPLACE(I153, ""[^0-9]"", """"), ""00000-0000000-0"")"),"34101-1345393-5")</f>
        <v>34101-1345393-5</v>
      </c>
      <c r="K153" s="16">
        <v>39031.0</v>
      </c>
      <c r="L153" s="13" t="s">
        <v>46</v>
      </c>
      <c r="M153" s="13" t="s">
        <v>1752</v>
      </c>
      <c r="N153" s="13" t="s">
        <v>33</v>
      </c>
      <c r="O153" s="17">
        <v>4050164.0</v>
      </c>
      <c r="P153" s="17">
        <v>204.0</v>
      </c>
      <c r="Q153" s="18">
        <v>91.11</v>
      </c>
      <c r="R153" s="14" t="s">
        <v>1753</v>
      </c>
      <c r="S153" s="13" t="s">
        <v>95</v>
      </c>
      <c r="T153" s="14" t="s">
        <v>1753</v>
      </c>
      <c r="U153" s="13" t="s">
        <v>1754</v>
      </c>
      <c r="V153" s="19" t="s">
        <v>1755</v>
      </c>
      <c r="W153" s="19" t="s">
        <v>1756</v>
      </c>
      <c r="X153" s="19" t="s">
        <v>1757</v>
      </c>
      <c r="Y153" s="19" t="s">
        <v>1758</v>
      </c>
      <c r="Z153" s="20" t="s">
        <v>40</v>
      </c>
      <c r="AA153" s="2"/>
      <c r="AB153" s="2"/>
      <c r="AC153" s="2"/>
      <c r="AD153" s="2"/>
      <c r="AE153" s="2"/>
      <c r="AF153" s="2"/>
    </row>
    <row r="154" ht="22.5" customHeight="1">
      <c r="A154" s="3">
        <v>46024.11181072917</v>
      </c>
      <c r="B154" s="4" t="s">
        <v>1759</v>
      </c>
      <c r="C154" s="4" t="s">
        <v>1759</v>
      </c>
      <c r="D154" s="4" t="s">
        <v>1760</v>
      </c>
      <c r="E154" s="4" t="str">
        <f t="shared" si="1"/>
        <v>+923187221722</v>
      </c>
      <c r="F154" s="4" t="s">
        <v>465</v>
      </c>
      <c r="G154" s="4" t="s">
        <v>1761</v>
      </c>
      <c r="H154" s="4" t="s">
        <v>1762</v>
      </c>
      <c r="I154" s="4" t="s">
        <v>1762</v>
      </c>
      <c r="J154" s="6" t="str">
        <f>IFERROR(__xludf.DUMMYFUNCTION("TEXT(REGEXREPLACE(I154, ""[^0-9]"", """"), ""00000-0000000-0"")"),"33102-5591723-7")</f>
        <v>33102-5591723-7</v>
      </c>
      <c r="K154" s="7">
        <v>39467.0</v>
      </c>
      <c r="L154" s="4" t="s">
        <v>46</v>
      </c>
      <c r="M154" s="4" t="s">
        <v>1763</v>
      </c>
      <c r="N154" s="4" t="s">
        <v>1764</v>
      </c>
      <c r="O154" s="8">
        <v>2090386.0</v>
      </c>
      <c r="P154" s="8">
        <v>205.0</v>
      </c>
      <c r="Q154" s="9">
        <v>93.33</v>
      </c>
      <c r="R154" s="4" t="s">
        <v>1765</v>
      </c>
      <c r="S154" s="4" t="s">
        <v>95</v>
      </c>
      <c r="T154" s="4" t="s">
        <v>1766</v>
      </c>
      <c r="U154" s="4" t="s">
        <v>1767</v>
      </c>
      <c r="V154" s="10" t="s">
        <v>1768</v>
      </c>
      <c r="W154" s="10" t="s">
        <v>1769</v>
      </c>
      <c r="X154" s="10" t="s">
        <v>1770</v>
      </c>
      <c r="Y154" s="10" t="s">
        <v>1771</v>
      </c>
      <c r="Z154" s="11" t="s">
        <v>40</v>
      </c>
      <c r="AA154" s="2"/>
      <c r="AB154" s="2"/>
      <c r="AC154" s="2"/>
      <c r="AD154" s="2"/>
      <c r="AE154" s="2"/>
      <c r="AF154" s="2"/>
    </row>
    <row r="155" ht="22.5" customHeight="1">
      <c r="A155" s="12">
        <v>46024.221389212966</v>
      </c>
      <c r="B155" s="13" t="s">
        <v>1772</v>
      </c>
      <c r="C155" s="13" t="s">
        <v>1772</v>
      </c>
      <c r="D155" s="13" t="s">
        <v>1773</v>
      </c>
      <c r="E155" s="13" t="str">
        <f t="shared" si="1"/>
        <v>+923070287575</v>
      </c>
      <c r="F155" s="13" t="s">
        <v>1774</v>
      </c>
      <c r="G155" s="13" t="s">
        <v>1775</v>
      </c>
      <c r="H155" s="13" t="s">
        <v>1776</v>
      </c>
      <c r="I155" s="13" t="s">
        <v>1776</v>
      </c>
      <c r="J155" s="15" t="str">
        <f>IFERROR(__xludf.DUMMYFUNCTION("TEXT(REGEXREPLACE(I155, ""[^0-9]"", """"), ""00000-0000000-0"")"),"33104-8747723-4")</f>
        <v>33104-8747723-4</v>
      </c>
      <c r="K155" s="16">
        <v>38557.0</v>
      </c>
      <c r="L155" s="13" t="s">
        <v>31</v>
      </c>
      <c r="M155" s="13" t="s">
        <v>1777</v>
      </c>
      <c r="N155" s="13" t="s">
        <v>93</v>
      </c>
      <c r="O155" s="17">
        <v>2010894.0</v>
      </c>
      <c r="P155" s="17">
        <v>217.0</v>
      </c>
      <c r="Q155" s="18">
        <v>93.88</v>
      </c>
      <c r="R155" s="13" t="s">
        <v>1775</v>
      </c>
      <c r="S155" s="13" t="s">
        <v>50</v>
      </c>
      <c r="T155" s="13" t="s">
        <v>1778</v>
      </c>
      <c r="U155" s="13" t="s">
        <v>1779</v>
      </c>
      <c r="V155" s="19" t="s">
        <v>1780</v>
      </c>
      <c r="W155" s="19" t="s">
        <v>1781</v>
      </c>
      <c r="X155" s="23"/>
      <c r="Y155" s="23"/>
      <c r="Z155" s="20" t="s">
        <v>40</v>
      </c>
      <c r="AA155" s="2"/>
      <c r="AB155" s="2"/>
      <c r="AC155" s="2"/>
      <c r="AD155" s="2"/>
      <c r="AE155" s="2"/>
      <c r="AF155" s="2"/>
    </row>
    <row r="156" ht="22.5" customHeight="1">
      <c r="A156" s="3">
        <v>46024.26539184028</v>
      </c>
      <c r="B156" s="4" t="s">
        <v>253</v>
      </c>
      <c r="C156" s="4" t="s">
        <v>253</v>
      </c>
      <c r="D156" s="5" t="s">
        <v>254</v>
      </c>
      <c r="E156" s="4" t="str">
        <f t="shared" si="1"/>
        <v>+923091414283</v>
      </c>
      <c r="F156" s="4" t="s">
        <v>255</v>
      </c>
      <c r="G156" s="4" t="s">
        <v>256</v>
      </c>
      <c r="H156" s="8">
        <v>3.540374477404E12</v>
      </c>
      <c r="I156" s="8">
        <v>3.540374477404E12</v>
      </c>
      <c r="J156" s="21" t="str">
        <f>IFERROR(__xludf.DUMMYFUNCTION("TEXT(REGEXREPLACE(I156, ""[^0-9]"", """"), ""00000-0000000-0"")"),"#VALUE!")</f>
        <v>#VALUE!</v>
      </c>
      <c r="K156" s="7">
        <v>38446.0</v>
      </c>
      <c r="L156" s="4" t="s">
        <v>31</v>
      </c>
      <c r="M156" s="4" t="s">
        <v>1782</v>
      </c>
      <c r="N156" s="4" t="s">
        <v>48</v>
      </c>
      <c r="O156" s="8">
        <v>2010289.0</v>
      </c>
      <c r="P156" s="8">
        <v>33.0</v>
      </c>
      <c r="Q156" s="9">
        <v>94.4864</v>
      </c>
      <c r="R156" s="4" t="s">
        <v>258</v>
      </c>
      <c r="S156" s="4" t="s">
        <v>259</v>
      </c>
      <c r="T156" s="5" t="s">
        <v>260</v>
      </c>
      <c r="U156" s="4" t="s">
        <v>261</v>
      </c>
      <c r="V156" s="10" t="s">
        <v>1783</v>
      </c>
      <c r="W156" s="10" t="s">
        <v>1784</v>
      </c>
      <c r="X156" s="10" t="s">
        <v>1785</v>
      </c>
      <c r="Y156" s="10" t="s">
        <v>1786</v>
      </c>
      <c r="Z156" s="11" t="s">
        <v>40</v>
      </c>
      <c r="AA156" s="2"/>
      <c r="AB156" s="2"/>
      <c r="AC156" s="2"/>
      <c r="AD156" s="2"/>
      <c r="AE156" s="2"/>
      <c r="AF156" s="2"/>
    </row>
    <row r="157" ht="22.5" customHeight="1">
      <c r="A157" s="12">
        <v>46024.30583025463</v>
      </c>
      <c r="B157" s="13" t="s">
        <v>1021</v>
      </c>
      <c r="C157" s="13" t="s">
        <v>1021</v>
      </c>
      <c r="D157" s="14" t="s">
        <v>1022</v>
      </c>
      <c r="E157" s="13" t="str">
        <f t="shared" si="1"/>
        <v>+923256221455</v>
      </c>
      <c r="F157" s="13" t="s">
        <v>1023</v>
      </c>
      <c r="G157" s="13" t="s">
        <v>1024</v>
      </c>
      <c r="H157" s="17">
        <v>3.610473075211E12</v>
      </c>
      <c r="I157" s="17">
        <v>3.610473075211E12</v>
      </c>
      <c r="J157" s="22" t="str">
        <f>IFERROR(__xludf.DUMMYFUNCTION("TEXT(REGEXREPLACE(I157, ""[^0-9]"", """"), ""00000-0000000-0"")"),"#VALUE!")</f>
        <v>#VALUE!</v>
      </c>
      <c r="K157" s="16">
        <v>38317.0</v>
      </c>
      <c r="L157" s="13" t="s">
        <v>46</v>
      </c>
      <c r="M157" s="13" t="s">
        <v>1787</v>
      </c>
      <c r="N157" s="13" t="s">
        <v>33</v>
      </c>
      <c r="O157" s="17">
        <v>9072831.0</v>
      </c>
      <c r="P157" s="17">
        <v>246.0</v>
      </c>
      <c r="Q157" s="18">
        <v>93.8515</v>
      </c>
      <c r="R157" s="13" t="s">
        <v>1024</v>
      </c>
      <c r="S157" s="13" t="s">
        <v>34</v>
      </c>
      <c r="T157" s="14" t="s">
        <v>1026</v>
      </c>
      <c r="U157" s="13" t="s">
        <v>1021</v>
      </c>
      <c r="V157" s="19" t="s">
        <v>1788</v>
      </c>
      <c r="W157" s="19" t="s">
        <v>1789</v>
      </c>
      <c r="X157" s="19" t="s">
        <v>1790</v>
      </c>
      <c r="Y157" s="19" t="s">
        <v>1791</v>
      </c>
      <c r="Z157" s="20" t="s">
        <v>40</v>
      </c>
      <c r="AA157" s="2"/>
      <c r="AB157" s="2"/>
      <c r="AC157" s="2"/>
      <c r="AD157" s="2"/>
      <c r="AE157" s="2"/>
      <c r="AF157" s="2"/>
    </row>
    <row r="158" ht="22.5" customHeight="1">
      <c r="A158" s="3">
        <v>46024.30820288195</v>
      </c>
      <c r="B158" s="4" t="s">
        <v>1792</v>
      </c>
      <c r="C158" s="4" t="s">
        <v>1792</v>
      </c>
      <c r="D158" s="5" t="s">
        <v>1793</v>
      </c>
      <c r="E158" s="4" t="str">
        <f t="shared" si="1"/>
        <v>+923437502528</v>
      </c>
      <c r="F158" s="4" t="s">
        <v>1794</v>
      </c>
      <c r="G158" s="4" t="s">
        <v>1795</v>
      </c>
      <c r="H158" s="8">
        <v>3.320221861627E12</v>
      </c>
      <c r="I158" s="8">
        <v>3.320221861627E12</v>
      </c>
      <c r="J158" s="21" t="str">
        <f>IFERROR(__xludf.DUMMYFUNCTION("TEXT(REGEXREPLACE(I158, ""[^0-9]"", """"), ""00000-0000000-0"")"),"#VALUE!")</f>
        <v>#VALUE!</v>
      </c>
      <c r="K158" s="7">
        <v>39718.0</v>
      </c>
      <c r="L158" s="4" t="s">
        <v>46</v>
      </c>
      <c r="M158" s="4" t="s">
        <v>1796</v>
      </c>
      <c r="N158" s="4" t="s">
        <v>48</v>
      </c>
      <c r="O158" s="8">
        <v>2091185.0</v>
      </c>
      <c r="P158" s="8">
        <v>21.0</v>
      </c>
      <c r="Q158" s="9">
        <v>93.33</v>
      </c>
      <c r="R158" s="4" t="s">
        <v>1795</v>
      </c>
      <c r="S158" s="4" t="s">
        <v>50</v>
      </c>
      <c r="T158" s="5" t="s">
        <v>1797</v>
      </c>
      <c r="U158" s="4" t="s">
        <v>1798</v>
      </c>
      <c r="V158" s="10" t="s">
        <v>1799</v>
      </c>
      <c r="W158" s="10" t="s">
        <v>1800</v>
      </c>
      <c r="X158" s="10" t="s">
        <v>1801</v>
      </c>
      <c r="Y158" s="10" t="s">
        <v>1802</v>
      </c>
      <c r="Z158" s="11" t="s">
        <v>40</v>
      </c>
      <c r="AA158" s="2"/>
      <c r="AB158" s="2"/>
      <c r="AC158" s="2"/>
      <c r="AD158" s="2"/>
      <c r="AE158" s="2"/>
      <c r="AF158" s="2"/>
    </row>
    <row r="159" ht="22.5" customHeight="1">
      <c r="A159" s="12">
        <v>46024.34277967592</v>
      </c>
      <c r="B159" s="13" t="s">
        <v>1803</v>
      </c>
      <c r="C159" s="13" t="s">
        <v>1803</v>
      </c>
      <c r="D159" s="14" t="s">
        <v>1804</v>
      </c>
      <c r="E159" s="13" t="str">
        <f t="shared" si="1"/>
        <v>+923136069221</v>
      </c>
      <c r="F159" s="13" t="s">
        <v>1805</v>
      </c>
      <c r="G159" s="13" t="s">
        <v>1806</v>
      </c>
      <c r="H159" s="17">
        <v>3.630280701421E12</v>
      </c>
      <c r="I159" s="17">
        <v>3.630280701421E12</v>
      </c>
      <c r="J159" s="22" t="str">
        <f>IFERROR(__xludf.DUMMYFUNCTION("TEXT(REGEXREPLACE(I159, ""[^0-9]"", """"), ""00000-0000000-0"")"),"#VALUE!")</f>
        <v>#VALUE!</v>
      </c>
      <c r="K159" s="16">
        <v>39661.0</v>
      </c>
      <c r="L159" s="13" t="s">
        <v>46</v>
      </c>
      <c r="M159" s="13" t="s">
        <v>1807</v>
      </c>
      <c r="N159" s="13" t="s">
        <v>33</v>
      </c>
      <c r="O159" s="17">
        <v>9076666.0</v>
      </c>
      <c r="P159" s="17">
        <v>208.0</v>
      </c>
      <c r="Q159" s="18">
        <v>93.8939</v>
      </c>
      <c r="R159" s="13" t="s">
        <v>1806</v>
      </c>
      <c r="S159" s="13" t="s">
        <v>95</v>
      </c>
      <c r="T159" s="14" t="s">
        <v>1808</v>
      </c>
      <c r="U159" s="13" t="s">
        <v>1809</v>
      </c>
      <c r="V159" s="19" t="s">
        <v>1810</v>
      </c>
      <c r="W159" s="19" t="s">
        <v>1811</v>
      </c>
      <c r="X159" s="19" t="s">
        <v>1812</v>
      </c>
      <c r="Y159" s="19" t="s">
        <v>1813</v>
      </c>
      <c r="Z159" s="20" t="s">
        <v>40</v>
      </c>
      <c r="AA159" s="2"/>
      <c r="AB159" s="2"/>
      <c r="AC159" s="2"/>
      <c r="AD159" s="2"/>
      <c r="AE159" s="2"/>
      <c r="AF159" s="2"/>
    </row>
    <row r="160" ht="22.5" customHeight="1">
      <c r="A160" s="3">
        <v>46024.37958366898</v>
      </c>
      <c r="B160" s="4" t="s">
        <v>1814</v>
      </c>
      <c r="C160" s="4" t="s">
        <v>1814</v>
      </c>
      <c r="D160" s="5" t="s">
        <v>1815</v>
      </c>
      <c r="E160" s="4" t="str">
        <f t="shared" si="1"/>
        <v>+923289837090</v>
      </c>
      <c r="F160" s="4" t="s">
        <v>1816</v>
      </c>
      <c r="G160" s="4" t="s">
        <v>1817</v>
      </c>
      <c r="H160" s="8">
        <v>4.220178194672E12</v>
      </c>
      <c r="I160" s="8">
        <v>4.220178194672E12</v>
      </c>
      <c r="J160" s="21" t="str">
        <f>IFERROR(__xludf.DUMMYFUNCTION("TEXT(REGEXREPLACE(I160, ""[^0-9]"", """"), ""00000-0000000-0"")"),"#VALUE!")</f>
        <v>#VALUE!</v>
      </c>
      <c r="K160" s="7">
        <v>39097.0</v>
      </c>
      <c r="L160" s="4" t="s">
        <v>31</v>
      </c>
      <c r="M160" s="4" t="s">
        <v>1818</v>
      </c>
      <c r="N160" s="4" t="s">
        <v>33</v>
      </c>
      <c r="O160" s="8">
        <v>2013559.0</v>
      </c>
      <c r="P160" s="8">
        <v>78.0</v>
      </c>
      <c r="Q160" s="9">
        <v>94.213</v>
      </c>
      <c r="R160" s="4" t="s">
        <v>1817</v>
      </c>
      <c r="S160" s="4" t="s">
        <v>34</v>
      </c>
      <c r="T160" s="5" t="s">
        <v>1819</v>
      </c>
      <c r="U160" s="4" t="s">
        <v>1820</v>
      </c>
      <c r="V160" s="10" t="s">
        <v>1821</v>
      </c>
      <c r="W160" s="10" t="s">
        <v>1822</v>
      </c>
      <c r="X160" s="10" t="s">
        <v>1823</v>
      </c>
      <c r="Y160" s="10" t="s">
        <v>1824</v>
      </c>
      <c r="Z160" s="11" t="s">
        <v>40</v>
      </c>
      <c r="AA160" s="2"/>
      <c r="AB160" s="2"/>
      <c r="AC160" s="2"/>
      <c r="AD160" s="2"/>
      <c r="AE160" s="2"/>
      <c r="AF160" s="2"/>
    </row>
    <row r="161" ht="22.5" customHeight="1">
      <c r="A161" s="12">
        <v>46024.39498744213</v>
      </c>
      <c r="B161" s="13" t="s">
        <v>1825</v>
      </c>
      <c r="C161" s="13" t="s">
        <v>1825</v>
      </c>
      <c r="D161" s="14" t="s">
        <v>1826</v>
      </c>
      <c r="E161" s="13" t="str">
        <f t="shared" si="1"/>
        <v>+923153561412</v>
      </c>
      <c r="F161" s="13" t="s">
        <v>1827</v>
      </c>
      <c r="G161" s="13" t="s">
        <v>1828</v>
      </c>
      <c r="H161" s="13" t="s">
        <v>1829</v>
      </c>
      <c r="I161" s="13" t="s">
        <v>1829</v>
      </c>
      <c r="J161" s="15" t="str">
        <f>IFERROR(__xludf.DUMMYFUNCTION("TEXT(REGEXREPLACE(I161, ""[^0-9]"", """"), ""00000-0000000-0"")"),"32203-7786019-9")</f>
        <v>32203-7786019-9</v>
      </c>
      <c r="K161" s="16">
        <v>38899.0</v>
      </c>
      <c r="L161" s="13" t="s">
        <v>46</v>
      </c>
      <c r="M161" s="13" t="s">
        <v>1830</v>
      </c>
      <c r="N161" s="13" t="s">
        <v>33</v>
      </c>
      <c r="O161" s="17">
        <v>1299253.0</v>
      </c>
      <c r="P161" s="17">
        <v>198.0</v>
      </c>
      <c r="Q161" s="18">
        <v>93.903</v>
      </c>
      <c r="R161" s="13" t="s">
        <v>1828</v>
      </c>
      <c r="S161" s="13" t="s">
        <v>34</v>
      </c>
      <c r="T161" s="14" t="s">
        <v>1831</v>
      </c>
      <c r="U161" s="13" t="s">
        <v>1832</v>
      </c>
      <c r="V161" s="19" t="s">
        <v>1833</v>
      </c>
      <c r="W161" s="19" t="s">
        <v>1834</v>
      </c>
      <c r="X161" s="19" t="s">
        <v>1835</v>
      </c>
      <c r="Y161" s="19" t="s">
        <v>1836</v>
      </c>
      <c r="Z161" s="20" t="s">
        <v>40</v>
      </c>
      <c r="AA161" s="2"/>
      <c r="AB161" s="2"/>
      <c r="AC161" s="2"/>
      <c r="AD161" s="2"/>
      <c r="AE161" s="2"/>
      <c r="AF161" s="2"/>
    </row>
    <row r="162" ht="22.5" customHeight="1">
      <c r="A162" s="3">
        <v>46024.42146064815</v>
      </c>
      <c r="B162" s="4" t="s">
        <v>1837</v>
      </c>
      <c r="C162" s="4" t="s">
        <v>1837</v>
      </c>
      <c r="D162" s="5" t="s">
        <v>1838</v>
      </c>
      <c r="E162" s="4" t="str">
        <f t="shared" si="1"/>
        <v>+923095530393</v>
      </c>
      <c r="F162" s="4" t="s">
        <v>1839</v>
      </c>
      <c r="G162" s="4" t="s">
        <v>1840</v>
      </c>
      <c r="H162" s="4" t="s">
        <v>1841</v>
      </c>
      <c r="I162" s="4" t="s">
        <v>1841</v>
      </c>
      <c r="J162" s="6" t="str">
        <f>IFERROR(__xludf.DUMMYFUNCTION("TEXT(REGEXREPLACE(I162, ""[^0-9]"", """"), ""00000-0000000-0"")"),"36102-7416320-0")</f>
        <v>36102-7416320-0</v>
      </c>
      <c r="K162" s="7">
        <v>38142.0</v>
      </c>
      <c r="L162" s="4" t="s">
        <v>31</v>
      </c>
      <c r="M162" s="4" t="s">
        <v>1842</v>
      </c>
      <c r="N162" s="4" t="s">
        <v>33</v>
      </c>
      <c r="O162" s="8">
        <v>9016439.0</v>
      </c>
      <c r="P162" s="8">
        <v>180.0</v>
      </c>
      <c r="Q162" s="9">
        <v>93.9227</v>
      </c>
      <c r="R162" s="4" t="s">
        <v>1840</v>
      </c>
      <c r="S162" s="4" t="s">
        <v>50</v>
      </c>
      <c r="T162" s="5" t="s">
        <v>1843</v>
      </c>
      <c r="U162" s="4" t="s">
        <v>1844</v>
      </c>
      <c r="V162" s="10" t="s">
        <v>1845</v>
      </c>
      <c r="W162" s="10" t="s">
        <v>1846</v>
      </c>
      <c r="X162" s="10" t="s">
        <v>1847</v>
      </c>
      <c r="Y162" s="10" t="s">
        <v>1848</v>
      </c>
      <c r="Z162" s="11" t="s">
        <v>40</v>
      </c>
      <c r="AA162" s="2"/>
      <c r="AB162" s="2"/>
      <c r="AC162" s="2"/>
      <c r="AD162" s="2"/>
      <c r="AE162" s="2"/>
      <c r="AF162" s="2"/>
    </row>
    <row r="163" ht="22.5" customHeight="1">
      <c r="A163" s="12">
        <v>46024.47512157407</v>
      </c>
      <c r="B163" s="13" t="s">
        <v>1849</v>
      </c>
      <c r="C163" s="13" t="s">
        <v>1849</v>
      </c>
      <c r="D163" s="14" t="s">
        <v>1850</v>
      </c>
      <c r="E163" s="13" t="str">
        <f t="shared" si="1"/>
        <v>+923086907576</v>
      </c>
      <c r="F163" s="13" t="s">
        <v>1851</v>
      </c>
      <c r="G163" s="13" t="s">
        <v>443</v>
      </c>
      <c r="H163" s="17">
        <v>3.640236534931E12</v>
      </c>
      <c r="I163" s="17">
        <v>3.640236534931E12</v>
      </c>
      <c r="J163" s="22" t="str">
        <f>IFERROR(__xludf.DUMMYFUNCTION("TEXT(REGEXREPLACE(I163, ""[^0-9]"", """"), ""00000-0000000-0"")"),"#VALUE!")</f>
        <v>#VALUE!</v>
      </c>
      <c r="K163" s="16">
        <v>38998.0</v>
      </c>
      <c r="L163" s="13" t="s">
        <v>46</v>
      </c>
      <c r="M163" s="13" t="s">
        <v>1852</v>
      </c>
      <c r="N163" s="13" t="s">
        <v>33</v>
      </c>
      <c r="O163" s="17">
        <v>8070126.0</v>
      </c>
      <c r="P163" s="17">
        <v>236.0</v>
      </c>
      <c r="Q163" s="18">
        <v>93.8621</v>
      </c>
      <c r="R163" s="13" t="s">
        <v>443</v>
      </c>
      <c r="S163" s="13" t="s">
        <v>50</v>
      </c>
      <c r="T163" s="14" t="s">
        <v>1853</v>
      </c>
      <c r="U163" s="23"/>
      <c r="V163" s="19" t="s">
        <v>1854</v>
      </c>
      <c r="W163" s="19" t="s">
        <v>1855</v>
      </c>
      <c r="X163" s="19" t="s">
        <v>1856</v>
      </c>
      <c r="Y163" s="19" t="s">
        <v>1857</v>
      </c>
      <c r="Z163" s="20" t="s">
        <v>40</v>
      </c>
      <c r="AA163" s="2"/>
      <c r="AB163" s="2"/>
      <c r="AC163" s="2"/>
      <c r="AD163" s="2"/>
      <c r="AE163" s="2"/>
      <c r="AF163" s="2"/>
    </row>
    <row r="164" ht="22.5" customHeight="1">
      <c r="A164" s="3">
        <v>46024.49464416667</v>
      </c>
      <c r="B164" s="4" t="s">
        <v>1858</v>
      </c>
      <c r="C164" s="4" t="s">
        <v>1858</v>
      </c>
      <c r="D164" s="5" t="s">
        <v>1859</v>
      </c>
      <c r="E164" s="4" t="str">
        <f t="shared" si="1"/>
        <v>+923299136390</v>
      </c>
      <c r="F164" s="4" t="s">
        <v>1860</v>
      </c>
      <c r="G164" s="4" t="s">
        <v>1861</v>
      </c>
      <c r="H164" s="4" t="s">
        <v>1862</v>
      </c>
      <c r="I164" s="4" t="s">
        <v>1862</v>
      </c>
      <c r="J164" s="6" t="str">
        <f>IFERROR(__xludf.DUMMYFUNCTION("TEXT(REGEXREPLACE(I164, ""[^0-9]"", """"), ""00000-0000000-0"")"),"31302-8391261-5")</f>
        <v>31302-8391261-5</v>
      </c>
      <c r="K164" s="7">
        <v>39005.0</v>
      </c>
      <c r="L164" s="4" t="s">
        <v>46</v>
      </c>
      <c r="M164" s="4" t="s">
        <v>1863</v>
      </c>
      <c r="N164" s="4" t="s">
        <v>48</v>
      </c>
      <c r="O164" s="8">
        <v>9072180.0</v>
      </c>
      <c r="P164" s="8">
        <v>153.0</v>
      </c>
      <c r="Q164" s="9">
        <v>93.9712</v>
      </c>
      <c r="R164" s="5" t="s">
        <v>1864</v>
      </c>
      <c r="S164" s="4" t="s">
        <v>259</v>
      </c>
      <c r="T164" s="5" t="s">
        <v>1864</v>
      </c>
      <c r="U164" s="4" t="s">
        <v>1865</v>
      </c>
      <c r="V164" s="10" t="s">
        <v>1866</v>
      </c>
      <c r="W164" s="10" t="s">
        <v>1867</v>
      </c>
      <c r="X164" s="10" t="s">
        <v>1868</v>
      </c>
      <c r="Y164" s="10" t="s">
        <v>1869</v>
      </c>
      <c r="Z164" s="11" t="s">
        <v>40</v>
      </c>
      <c r="AA164" s="2"/>
      <c r="AB164" s="2"/>
      <c r="AC164" s="2"/>
      <c r="AD164" s="2"/>
      <c r="AE164" s="2"/>
      <c r="AF164" s="2"/>
    </row>
    <row r="165" ht="22.5" customHeight="1">
      <c r="A165" s="12">
        <v>46024.50531065972</v>
      </c>
      <c r="B165" s="13" t="s">
        <v>1870</v>
      </c>
      <c r="C165" s="13" t="s">
        <v>1870</v>
      </c>
      <c r="D165" s="14" t="s">
        <v>1871</v>
      </c>
      <c r="E165" s="13" t="str">
        <f t="shared" si="1"/>
        <v>+923355084125</v>
      </c>
      <c r="F165" s="13" t="s">
        <v>1872</v>
      </c>
      <c r="G165" s="13" t="s">
        <v>1873</v>
      </c>
      <c r="H165" s="17">
        <v>3.310243180961E12</v>
      </c>
      <c r="I165" s="17">
        <v>3.310243180961E12</v>
      </c>
      <c r="J165" s="22" t="str">
        <f>IFERROR(__xludf.DUMMYFUNCTION("TEXT(REGEXREPLACE(I165, ""[^0-9]"", """"), ""00000-0000000-0"")"),"#VALUE!")</f>
        <v>#VALUE!</v>
      </c>
      <c r="K165" s="16">
        <v>38288.0</v>
      </c>
      <c r="L165" s="13" t="s">
        <v>46</v>
      </c>
      <c r="M165" s="13" t="s">
        <v>1874</v>
      </c>
      <c r="N165" s="13" t="s">
        <v>48</v>
      </c>
      <c r="O165" s="17">
        <v>2070598.0</v>
      </c>
      <c r="P165" s="17">
        <v>85.0</v>
      </c>
      <c r="Q165" s="18">
        <v>94.1727</v>
      </c>
      <c r="R165" s="13" t="s">
        <v>1873</v>
      </c>
      <c r="S165" s="13" t="s">
        <v>34</v>
      </c>
      <c r="T165" s="14" t="s">
        <v>1875</v>
      </c>
      <c r="U165" s="13" t="s">
        <v>1870</v>
      </c>
      <c r="V165" s="19" t="s">
        <v>1876</v>
      </c>
      <c r="W165" s="19" t="s">
        <v>1877</v>
      </c>
      <c r="X165" s="19" t="s">
        <v>1878</v>
      </c>
      <c r="Y165" s="19" t="s">
        <v>1879</v>
      </c>
      <c r="Z165" s="20" t="s">
        <v>40</v>
      </c>
      <c r="AA165" s="2"/>
      <c r="AB165" s="2"/>
      <c r="AC165" s="2"/>
      <c r="AD165" s="2"/>
      <c r="AE165" s="2"/>
      <c r="AF165" s="2"/>
    </row>
    <row r="166" ht="22.5" customHeight="1">
      <c r="A166" s="3">
        <v>46024.526364930556</v>
      </c>
      <c r="B166" s="4" t="s">
        <v>1880</v>
      </c>
      <c r="C166" s="4" t="s">
        <v>1880</v>
      </c>
      <c r="D166" s="5" t="s">
        <v>1881</v>
      </c>
      <c r="E166" s="4" t="str">
        <f t="shared" si="1"/>
        <v>+923315581714</v>
      </c>
      <c r="F166" s="4" t="s">
        <v>1882</v>
      </c>
      <c r="G166" s="4" t="s">
        <v>1883</v>
      </c>
      <c r="H166" s="8">
        <v>3.810123189475E12</v>
      </c>
      <c r="I166" s="8">
        <v>3.810123189475E12</v>
      </c>
      <c r="J166" s="21" t="str">
        <f>IFERROR(__xludf.DUMMYFUNCTION("TEXT(REGEXREPLACE(I166, ""[^0-9]"", """"), ""00000-0000000-0"")"),"#VALUE!")</f>
        <v>#VALUE!</v>
      </c>
      <c r="K166" s="7">
        <v>38237.0</v>
      </c>
      <c r="L166" s="4" t="s">
        <v>46</v>
      </c>
      <c r="M166" s="4" t="s">
        <v>1884</v>
      </c>
      <c r="N166" s="4" t="s">
        <v>93</v>
      </c>
      <c r="O166" s="8">
        <v>9070106.0</v>
      </c>
      <c r="P166" s="8">
        <v>187.0</v>
      </c>
      <c r="Q166" s="9">
        <v>93.9182</v>
      </c>
      <c r="R166" s="4" t="s">
        <v>1883</v>
      </c>
      <c r="S166" s="4" t="s">
        <v>1885</v>
      </c>
      <c r="T166" s="5" t="s">
        <v>1886</v>
      </c>
      <c r="U166" s="4" t="s">
        <v>1887</v>
      </c>
      <c r="V166" s="10" t="s">
        <v>1888</v>
      </c>
      <c r="W166" s="10" t="s">
        <v>1889</v>
      </c>
      <c r="X166" s="10" t="s">
        <v>1890</v>
      </c>
      <c r="Y166" s="10" t="s">
        <v>1891</v>
      </c>
      <c r="Z166" s="11" t="s">
        <v>40</v>
      </c>
      <c r="AA166" s="2"/>
      <c r="AB166" s="2"/>
      <c r="AC166" s="2"/>
      <c r="AD166" s="2"/>
      <c r="AE166" s="2"/>
      <c r="AF166" s="2"/>
    </row>
    <row r="167" ht="22.5" customHeight="1">
      <c r="A167" s="12">
        <v>46024.57374827546</v>
      </c>
      <c r="B167" s="13" t="s">
        <v>1892</v>
      </c>
      <c r="C167" s="13" t="s">
        <v>1892</v>
      </c>
      <c r="D167" s="14" t="s">
        <v>1893</v>
      </c>
      <c r="E167" s="13" t="str">
        <f t="shared" si="1"/>
        <v>+923346615051</v>
      </c>
      <c r="F167" s="13" t="s">
        <v>1894</v>
      </c>
      <c r="G167" s="13" t="s">
        <v>1895</v>
      </c>
      <c r="H167" s="13" t="s">
        <v>1896</v>
      </c>
      <c r="I167" s="13" t="s">
        <v>1896</v>
      </c>
      <c r="J167" s="15" t="str">
        <f>IFERROR(__xludf.DUMMYFUNCTION("TEXT(REGEXREPLACE(I167, ""[^0-9]"", """"), ""00000-0000000-0"")"),"33102-1363609-9")</f>
        <v>33102-1363609-9</v>
      </c>
      <c r="K167" s="16">
        <v>39314.0</v>
      </c>
      <c r="L167" s="13" t="s">
        <v>46</v>
      </c>
      <c r="M167" s="13" t="s">
        <v>1897</v>
      </c>
      <c r="N167" s="13" t="s">
        <v>33</v>
      </c>
      <c r="O167" s="17">
        <v>2090537.0</v>
      </c>
      <c r="P167" s="17">
        <v>254.0</v>
      </c>
      <c r="Q167" s="18">
        <v>93.84</v>
      </c>
      <c r="R167" s="13" t="s">
        <v>1895</v>
      </c>
      <c r="S167" s="13" t="s">
        <v>34</v>
      </c>
      <c r="T167" s="14" t="s">
        <v>1898</v>
      </c>
      <c r="U167" s="13" t="s">
        <v>1899</v>
      </c>
      <c r="V167" s="19" t="s">
        <v>1900</v>
      </c>
      <c r="W167" s="19" t="s">
        <v>1901</v>
      </c>
      <c r="X167" s="19" t="s">
        <v>1902</v>
      </c>
      <c r="Y167" s="19" t="s">
        <v>1903</v>
      </c>
      <c r="Z167" s="20" t="s">
        <v>40</v>
      </c>
      <c r="AA167" s="2"/>
      <c r="AB167" s="2"/>
      <c r="AC167" s="2"/>
      <c r="AD167" s="2"/>
      <c r="AE167" s="2"/>
      <c r="AF167" s="2"/>
    </row>
    <row r="168" ht="22.5" customHeight="1">
      <c r="A168" s="3">
        <v>46024.57713261574</v>
      </c>
      <c r="B168" s="4" t="s">
        <v>1904</v>
      </c>
      <c r="C168" s="4" t="s">
        <v>1905</v>
      </c>
      <c r="D168" s="5" t="s">
        <v>1906</v>
      </c>
      <c r="E168" s="4" t="str">
        <f t="shared" si="1"/>
        <v>+923127044132</v>
      </c>
      <c r="F168" s="4" t="s">
        <v>1907</v>
      </c>
      <c r="G168" s="4" t="s">
        <v>1908</v>
      </c>
      <c r="H168" s="4" t="s">
        <v>1909</v>
      </c>
      <c r="I168" s="4" t="s">
        <v>1909</v>
      </c>
      <c r="J168" s="6" t="str">
        <f>IFERROR(__xludf.DUMMYFUNCTION("TEXT(REGEXREPLACE(I168, ""[^0-9]"", """"), ""00000-0000000-0"")"),"33104-3486588-1")</f>
        <v>33104-3486588-1</v>
      </c>
      <c r="K168" s="7">
        <v>38617.0</v>
      </c>
      <c r="L168" s="4" t="s">
        <v>46</v>
      </c>
      <c r="M168" s="4" t="s">
        <v>1910</v>
      </c>
      <c r="N168" s="4" t="s">
        <v>33</v>
      </c>
      <c r="O168" s="8">
        <v>2071222.0</v>
      </c>
      <c r="P168" s="8">
        <v>119.0</v>
      </c>
      <c r="Q168" s="9">
        <v>94.0545</v>
      </c>
      <c r="R168" s="4" t="s">
        <v>1908</v>
      </c>
      <c r="S168" s="4" t="s">
        <v>34</v>
      </c>
      <c r="T168" s="5" t="s">
        <v>1911</v>
      </c>
      <c r="U168" s="4" t="s">
        <v>1905</v>
      </c>
      <c r="V168" s="10" t="s">
        <v>1912</v>
      </c>
      <c r="W168" s="10" t="s">
        <v>1913</v>
      </c>
      <c r="X168" s="25"/>
      <c r="Y168" s="25"/>
      <c r="Z168" s="11" t="s">
        <v>40</v>
      </c>
      <c r="AA168" s="2"/>
      <c r="AB168" s="2"/>
      <c r="AC168" s="2"/>
      <c r="AD168" s="2"/>
      <c r="AE168" s="2"/>
      <c r="AF168" s="2"/>
    </row>
    <row r="169" ht="22.5" customHeight="1">
      <c r="A169" s="12">
        <v>46024.58434984954</v>
      </c>
      <c r="B169" s="13" t="s">
        <v>1914</v>
      </c>
      <c r="C169" s="13" t="s">
        <v>1915</v>
      </c>
      <c r="D169" s="14" t="s">
        <v>1916</v>
      </c>
      <c r="E169" s="13" t="str">
        <f t="shared" si="1"/>
        <v>+923280030809</v>
      </c>
      <c r="F169" s="13" t="s">
        <v>1917</v>
      </c>
      <c r="G169" s="13" t="s">
        <v>1918</v>
      </c>
      <c r="H169" s="13" t="s">
        <v>1919</v>
      </c>
      <c r="I169" s="13" t="s">
        <v>1919</v>
      </c>
      <c r="J169" s="15" t="str">
        <f>IFERROR(__xludf.DUMMYFUNCTION("TEXT(REGEXREPLACE(I169, ""[^0-9]"", """"), ""00000-0000000-0"")"),"33100-6519933-9")</f>
        <v>33100-6519933-9</v>
      </c>
      <c r="K169" s="16">
        <v>38879.0</v>
      </c>
      <c r="L169" s="13" t="s">
        <v>46</v>
      </c>
      <c r="M169" s="13" t="s">
        <v>1920</v>
      </c>
      <c r="N169" s="13" t="s">
        <v>33</v>
      </c>
      <c r="O169" s="17">
        <v>2070282.0</v>
      </c>
      <c r="P169" s="17">
        <v>56.0</v>
      </c>
      <c r="Q169" s="27" t="s">
        <v>1921</v>
      </c>
      <c r="R169" s="13" t="s">
        <v>1917</v>
      </c>
      <c r="S169" s="13" t="s">
        <v>34</v>
      </c>
      <c r="T169" s="13" t="s">
        <v>1922</v>
      </c>
      <c r="U169" s="13" t="s">
        <v>1923</v>
      </c>
      <c r="V169" s="19" t="s">
        <v>1924</v>
      </c>
      <c r="W169" s="19" t="s">
        <v>1925</v>
      </c>
      <c r="X169" s="19" t="s">
        <v>1926</v>
      </c>
      <c r="Y169" s="19" t="s">
        <v>1927</v>
      </c>
      <c r="Z169" s="20" t="s">
        <v>40</v>
      </c>
      <c r="AA169" s="2"/>
      <c r="AB169" s="2"/>
      <c r="AC169" s="2"/>
      <c r="AD169" s="2"/>
      <c r="AE169" s="2"/>
      <c r="AF169" s="2"/>
    </row>
    <row r="170" ht="22.5" customHeight="1">
      <c r="A170" s="3">
        <v>46024.59668150463</v>
      </c>
      <c r="B170" s="4" t="s">
        <v>1928</v>
      </c>
      <c r="C170" s="4" t="s">
        <v>1928</v>
      </c>
      <c r="D170" s="5" t="s">
        <v>1929</v>
      </c>
      <c r="E170" s="4" t="str">
        <f t="shared" si="1"/>
        <v>+923074889944</v>
      </c>
      <c r="F170" s="4" t="s">
        <v>1930</v>
      </c>
      <c r="G170" s="4" t="s">
        <v>1931</v>
      </c>
      <c r="H170" s="4" t="s">
        <v>1932</v>
      </c>
      <c r="I170" s="4" t="s">
        <v>1932</v>
      </c>
      <c r="J170" s="6" t="str">
        <f>IFERROR(__xludf.DUMMYFUNCTION("TEXT(REGEXREPLACE(I170, ""[^0-9]"", """"), ""00000-0000000-0"")"),"33102-6814696-9")</f>
        <v>33102-6814696-9</v>
      </c>
      <c r="K170" s="7">
        <v>38582.0</v>
      </c>
      <c r="L170" s="4" t="s">
        <v>46</v>
      </c>
      <c r="M170" s="4" t="s">
        <v>1933</v>
      </c>
      <c r="N170" s="4" t="s">
        <v>33</v>
      </c>
      <c r="O170" s="8">
        <v>2070992.0</v>
      </c>
      <c r="P170" s="8">
        <v>133.0</v>
      </c>
      <c r="Q170" s="9">
        <v>94.0091</v>
      </c>
      <c r="R170" s="4" t="s">
        <v>1931</v>
      </c>
      <c r="S170" s="4" t="s">
        <v>34</v>
      </c>
      <c r="T170" s="5" t="s">
        <v>1934</v>
      </c>
      <c r="U170" s="25"/>
      <c r="V170" s="10" t="s">
        <v>1935</v>
      </c>
      <c r="W170" s="10" t="s">
        <v>1936</v>
      </c>
      <c r="X170" s="10" t="s">
        <v>1937</v>
      </c>
      <c r="Y170" s="10" t="s">
        <v>1938</v>
      </c>
      <c r="Z170" s="11" t="s">
        <v>40</v>
      </c>
      <c r="AA170" s="2"/>
      <c r="AB170" s="2"/>
      <c r="AC170" s="2"/>
      <c r="AD170" s="2"/>
      <c r="AE170" s="2"/>
      <c r="AF170" s="2"/>
    </row>
    <row r="171" ht="22.5" customHeight="1">
      <c r="A171" s="12">
        <v>46024.60637084491</v>
      </c>
      <c r="B171" s="13" t="s">
        <v>1939</v>
      </c>
      <c r="C171" s="13" t="s">
        <v>1939</v>
      </c>
      <c r="D171" s="14" t="s">
        <v>1940</v>
      </c>
      <c r="E171" s="24" t="str">
        <f t="shared" si="1"/>
        <v>+92390019969</v>
      </c>
      <c r="F171" s="13" t="s">
        <v>1941</v>
      </c>
      <c r="G171" s="13" t="s">
        <v>1942</v>
      </c>
      <c r="H171" s="13" t="s">
        <v>1943</v>
      </c>
      <c r="I171" s="13" t="s">
        <v>1943</v>
      </c>
      <c r="J171" s="15" t="str">
        <f>IFERROR(__xludf.DUMMYFUNCTION("TEXT(REGEXREPLACE(I171, ""[^0-9]"", """"), ""00000-0000000-0"")"),"32402-4833219-9")</f>
        <v>32402-4833219-9</v>
      </c>
      <c r="K171" s="16">
        <v>38918.0</v>
      </c>
      <c r="L171" s="13" t="s">
        <v>46</v>
      </c>
      <c r="M171" s="13" t="s">
        <v>1944</v>
      </c>
      <c r="N171" s="13" t="s">
        <v>93</v>
      </c>
      <c r="O171" s="17">
        <v>9071332.0</v>
      </c>
      <c r="P171" s="17">
        <v>281.0</v>
      </c>
      <c r="Q171" s="18">
        <v>91.52</v>
      </c>
      <c r="R171" s="13" t="s">
        <v>1942</v>
      </c>
      <c r="S171" s="13" t="s">
        <v>34</v>
      </c>
      <c r="T171" s="13" t="s">
        <v>1945</v>
      </c>
      <c r="U171" s="13" t="s">
        <v>1946</v>
      </c>
      <c r="V171" s="19" t="s">
        <v>1947</v>
      </c>
      <c r="W171" s="19" t="s">
        <v>1948</v>
      </c>
      <c r="X171" s="19" t="s">
        <v>1949</v>
      </c>
      <c r="Y171" s="19" t="s">
        <v>1950</v>
      </c>
      <c r="Z171" s="20" t="s">
        <v>40</v>
      </c>
      <c r="AA171" s="2"/>
      <c r="AB171" s="2"/>
      <c r="AC171" s="2"/>
      <c r="AD171" s="2"/>
      <c r="AE171" s="2"/>
      <c r="AF171" s="2"/>
    </row>
    <row r="172" ht="22.5" customHeight="1">
      <c r="A172" s="3">
        <v>46024.615725219905</v>
      </c>
      <c r="B172" s="4" t="s">
        <v>1951</v>
      </c>
      <c r="C172" s="4" t="s">
        <v>1951</v>
      </c>
      <c r="D172" s="5" t="s">
        <v>1952</v>
      </c>
      <c r="E172" s="4" t="str">
        <f t="shared" si="1"/>
        <v>+923079902545</v>
      </c>
      <c r="F172" s="4" t="s">
        <v>1953</v>
      </c>
      <c r="G172" s="4" t="s">
        <v>1518</v>
      </c>
      <c r="H172" s="8">
        <v>3.310298419934E12</v>
      </c>
      <c r="I172" s="8">
        <v>3.310298419934E12</v>
      </c>
      <c r="J172" s="21" t="str">
        <f>IFERROR(__xludf.DUMMYFUNCTION("TEXT(REGEXREPLACE(I172, ""[^0-9]"", """"), ""00000-0000000-0"")"),"#VALUE!")</f>
        <v>#VALUE!</v>
      </c>
      <c r="K172" s="7">
        <v>38042.0</v>
      </c>
      <c r="L172" s="4" t="s">
        <v>31</v>
      </c>
      <c r="M172" s="4" t="s">
        <v>1954</v>
      </c>
      <c r="N172" s="4" t="s">
        <v>33</v>
      </c>
      <c r="O172" s="8">
        <v>2013609.0</v>
      </c>
      <c r="P172" s="8">
        <v>54.0</v>
      </c>
      <c r="Q172" s="9">
        <v>94.5</v>
      </c>
      <c r="R172" s="4" t="s">
        <v>1518</v>
      </c>
      <c r="S172" s="4" t="s">
        <v>50</v>
      </c>
      <c r="T172" s="5" t="s">
        <v>1955</v>
      </c>
      <c r="U172" s="4" t="s">
        <v>1956</v>
      </c>
      <c r="V172" s="10" t="s">
        <v>1957</v>
      </c>
      <c r="W172" s="10" t="s">
        <v>1958</v>
      </c>
      <c r="X172" s="10" t="s">
        <v>1959</v>
      </c>
      <c r="Y172" s="10" t="s">
        <v>1960</v>
      </c>
      <c r="Z172" s="11" t="s">
        <v>40</v>
      </c>
      <c r="AA172" s="2"/>
      <c r="AB172" s="2"/>
      <c r="AC172" s="2"/>
      <c r="AD172" s="2"/>
      <c r="AE172" s="2"/>
      <c r="AF172" s="2"/>
    </row>
    <row r="173" ht="22.5" customHeight="1">
      <c r="A173" s="12">
        <v>46024.638761064816</v>
      </c>
      <c r="B173" s="13" t="s">
        <v>1961</v>
      </c>
      <c r="C173" s="13" t="s">
        <v>1961</v>
      </c>
      <c r="D173" s="14" t="s">
        <v>1962</v>
      </c>
      <c r="E173" s="13" t="str">
        <f t="shared" si="1"/>
        <v>+923077900041</v>
      </c>
      <c r="F173" s="13" t="s">
        <v>1963</v>
      </c>
      <c r="G173" s="13" t="s">
        <v>1964</v>
      </c>
      <c r="H173" s="17">
        <v>3.310061557682E12</v>
      </c>
      <c r="I173" s="17">
        <v>3.310061557682E12</v>
      </c>
      <c r="J173" s="22" t="str">
        <f>IFERROR(__xludf.DUMMYFUNCTION("TEXT(REGEXREPLACE(I173, ""[^0-9]"", """"), ""00000-0000000-0"")"),"#VALUE!")</f>
        <v>#VALUE!</v>
      </c>
      <c r="K173" s="16">
        <v>38943.0</v>
      </c>
      <c r="L173" s="13" t="s">
        <v>31</v>
      </c>
      <c r="M173" s="13" t="s">
        <v>1965</v>
      </c>
      <c r="N173" s="13" t="s">
        <v>48</v>
      </c>
      <c r="O173" s="17">
        <v>2011415.0</v>
      </c>
      <c r="P173" s="17">
        <v>22.0</v>
      </c>
      <c r="Q173" s="18">
        <v>95.5</v>
      </c>
      <c r="R173" s="13" t="s">
        <v>1964</v>
      </c>
      <c r="S173" s="13" t="s">
        <v>50</v>
      </c>
      <c r="T173" s="14" t="s">
        <v>1966</v>
      </c>
      <c r="U173" s="13" t="s">
        <v>1967</v>
      </c>
      <c r="V173" s="19" t="s">
        <v>1968</v>
      </c>
      <c r="W173" s="19" t="s">
        <v>1969</v>
      </c>
      <c r="X173" s="19" t="s">
        <v>1970</v>
      </c>
      <c r="Y173" s="19" t="s">
        <v>1971</v>
      </c>
      <c r="Z173" s="20" t="s">
        <v>40</v>
      </c>
      <c r="AA173" s="2"/>
      <c r="AB173" s="2"/>
      <c r="AC173" s="2"/>
      <c r="AD173" s="2"/>
      <c r="AE173" s="2"/>
      <c r="AF173" s="2"/>
    </row>
    <row r="174" ht="22.5" customHeight="1">
      <c r="A174" s="3">
        <v>46024.64449831018</v>
      </c>
      <c r="B174" s="4" t="s">
        <v>1972</v>
      </c>
      <c r="C174" s="4" t="s">
        <v>1972</v>
      </c>
      <c r="D174" s="5" t="s">
        <v>1973</v>
      </c>
      <c r="E174" s="4" t="str">
        <f t="shared" si="1"/>
        <v>+923249443193</v>
      </c>
      <c r="F174" s="4" t="s">
        <v>1974</v>
      </c>
      <c r="G174" s="4" t="s">
        <v>1975</v>
      </c>
      <c r="H174" s="4" t="s">
        <v>1976</v>
      </c>
      <c r="I174" s="4" t="s">
        <v>1976</v>
      </c>
      <c r="J174" s="6" t="str">
        <f>IFERROR(__xludf.DUMMYFUNCTION("TEXT(REGEXREPLACE(I174, ""[^0-9]"", """"), ""00000-0000000-0"")"),"35202-1392048-9")</f>
        <v>35202-1392048-9</v>
      </c>
      <c r="K174" s="7">
        <v>37448.0</v>
      </c>
      <c r="L174" s="4" t="s">
        <v>46</v>
      </c>
      <c r="M174" s="4" t="s">
        <v>1977</v>
      </c>
      <c r="N174" s="4" t="s">
        <v>33</v>
      </c>
      <c r="O174" s="8">
        <v>1073031.0</v>
      </c>
      <c r="P174" s="8">
        <v>259.0</v>
      </c>
      <c r="Q174" s="9">
        <v>93.8318</v>
      </c>
      <c r="R174" s="4" t="s">
        <v>1975</v>
      </c>
      <c r="S174" s="4" t="s">
        <v>34</v>
      </c>
      <c r="T174" s="5" t="s">
        <v>1978</v>
      </c>
      <c r="U174" s="4" t="s">
        <v>1979</v>
      </c>
      <c r="V174" s="10" t="s">
        <v>1980</v>
      </c>
      <c r="W174" s="10" t="s">
        <v>1981</v>
      </c>
      <c r="X174" s="10" t="s">
        <v>1982</v>
      </c>
      <c r="Y174" s="10" t="s">
        <v>1983</v>
      </c>
      <c r="Z174" s="11" t="s">
        <v>40</v>
      </c>
      <c r="AA174" s="2"/>
      <c r="AB174" s="2"/>
      <c r="AC174" s="2"/>
      <c r="AD174" s="2"/>
      <c r="AE174" s="2"/>
      <c r="AF174" s="2"/>
    </row>
    <row r="175" ht="22.5" customHeight="1">
      <c r="A175" s="12">
        <v>46024.65906464121</v>
      </c>
      <c r="B175" s="13" t="s">
        <v>1534</v>
      </c>
      <c r="C175" s="13" t="s">
        <v>1984</v>
      </c>
      <c r="D175" s="14" t="s">
        <v>1528</v>
      </c>
      <c r="E175" s="13" t="str">
        <f t="shared" si="1"/>
        <v>+923366476406</v>
      </c>
      <c r="F175" s="13" t="s">
        <v>1984</v>
      </c>
      <c r="G175" s="13" t="s">
        <v>1985</v>
      </c>
      <c r="H175" s="17">
        <v>3.810132056256E12</v>
      </c>
      <c r="I175" s="17">
        <v>3.810132056256E12</v>
      </c>
      <c r="J175" s="22" t="str">
        <f>IFERROR(__xludf.DUMMYFUNCTION("TEXT(REGEXREPLACE(I175, ""[^0-9]"", """"), ""00000-0000000-0"")"),"#VALUE!")</f>
        <v>#VALUE!</v>
      </c>
      <c r="K175" s="16">
        <v>38398.0</v>
      </c>
      <c r="L175" s="13" t="s">
        <v>31</v>
      </c>
      <c r="M175" s="13" t="s">
        <v>1986</v>
      </c>
      <c r="N175" s="13" t="s">
        <v>33</v>
      </c>
      <c r="O175" s="17">
        <v>2010535.0</v>
      </c>
      <c r="P175" s="17">
        <v>105.0</v>
      </c>
      <c r="Q175" s="18">
        <v>94.1</v>
      </c>
      <c r="R175" s="13" t="s">
        <v>1985</v>
      </c>
      <c r="S175" s="13" t="s">
        <v>50</v>
      </c>
      <c r="T175" s="14" t="s">
        <v>1533</v>
      </c>
      <c r="U175" s="13" t="s">
        <v>1534</v>
      </c>
      <c r="V175" s="19" t="s">
        <v>1987</v>
      </c>
      <c r="W175" s="19" t="s">
        <v>1988</v>
      </c>
      <c r="X175" s="19" t="s">
        <v>1989</v>
      </c>
      <c r="Y175" s="19" t="s">
        <v>1990</v>
      </c>
      <c r="Z175" s="20" t="s">
        <v>40</v>
      </c>
      <c r="AA175" s="2"/>
      <c r="AB175" s="2"/>
      <c r="AC175" s="2"/>
      <c r="AD175" s="2"/>
      <c r="AE175" s="2"/>
      <c r="AF175" s="2"/>
    </row>
    <row r="176" ht="22.5" customHeight="1">
      <c r="A176" s="3">
        <v>46024.70961960648</v>
      </c>
      <c r="B176" s="4" t="s">
        <v>1991</v>
      </c>
      <c r="C176" s="4" t="s">
        <v>1991</v>
      </c>
      <c r="D176" s="5" t="s">
        <v>1992</v>
      </c>
      <c r="E176" s="4" t="str">
        <f t="shared" si="1"/>
        <v>+923356846633</v>
      </c>
      <c r="F176" s="4" t="s">
        <v>1993</v>
      </c>
      <c r="G176" s="4" t="s">
        <v>1994</v>
      </c>
      <c r="H176" s="4" t="s">
        <v>1995</v>
      </c>
      <c r="I176" s="4" t="s">
        <v>1995</v>
      </c>
      <c r="J176" s="6" t="str">
        <f>IFERROR(__xludf.DUMMYFUNCTION("TEXT(REGEXREPLACE(I176, ""[^0-9]"", """"), ""00000-0000000-0"")"),"38101-4309366-6")</f>
        <v>38101-4309366-6</v>
      </c>
      <c r="K176" s="7">
        <v>39116.0</v>
      </c>
      <c r="L176" s="4" t="s">
        <v>31</v>
      </c>
      <c r="M176" s="4" t="s">
        <v>1996</v>
      </c>
      <c r="N176" s="4" t="s">
        <v>93</v>
      </c>
      <c r="O176" s="8">
        <v>9016225.0</v>
      </c>
      <c r="P176" s="8">
        <v>274.0</v>
      </c>
      <c r="Q176" s="9">
        <v>93.79</v>
      </c>
      <c r="R176" s="4" t="s">
        <v>1997</v>
      </c>
      <c r="S176" s="4" t="s">
        <v>34</v>
      </c>
      <c r="T176" s="4" t="s">
        <v>1998</v>
      </c>
      <c r="U176" s="4" t="s">
        <v>1999</v>
      </c>
      <c r="V176" s="10" t="s">
        <v>2000</v>
      </c>
      <c r="W176" s="10" t="s">
        <v>2001</v>
      </c>
      <c r="X176" s="10" t="s">
        <v>2002</v>
      </c>
      <c r="Y176" s="10" t="s">
        <v>2003</v>
      </c>
      <c r="Z176" s="11" t="s">
        <v>40</v>
      </c>
      <c r="AA176" s="2"/>
      <c r="AB176" s="2"/>
      <c r="AC176" s="2"/>
      <c r="AD176" s="2"/>
      <c r="AE176" s="2"/>
      <c r="AF176" s="2"/>
    </row>
    <row r="177" ht="22.5" customHeight="1">
      <c r="A177" s="12">
        <v>46024.84224864583</v>
      </c>
      <c r="B177" s="13" t="s">
        <v>2004</v>
      </c>
      <c r="C177" s="13" t="s">
        <v>2004</v>
      </c>
      <c r="D177" s="14" t="s">
        <v>2005</v>
      </c>
      <c r="E177" s="13" t="str">
        <f t="shared" si="1"/>
        <v>+923209662626</v>
      </c>
      <c r="F177" s="13" t="s">
        <v>2006</v>
      </c>
      <c r="G177" s="13" t="s">
        <v>2007</v>
      </c>
      <c r="H177" s="17">
        <v>3.310272323918E12</v>
      </c>
      <c r="I177" s="17">
        <v>3.310272323918E12</v>
      </c>
      <c r="J177" s="22" t="str">
        <f>IFERROR(__xludf.DUMMYFUNCTION("TEXT(REGEXREPLACE(I177, ""[^0-9]"", """"), ""00000-0000000-0"")"),"#VALUE!")</f>
        <v>#VALUE!</v>
      </c>
      <c r="K177" s="16">
        <v>38286.0</v>
      </c>
      <c r="L177" s="13" t="s">
        <v>31</v>
      </c>
      <c r="M177" s="13" t="s">
        <v>2008</v>
      </c>
      <c r="N177" s="13" t="s">
        <v>33</v>
      </c>
      <c r="O177" s="17">
        <v>2010496.0</v>
      </c>
      <c r="P177" s="17">
        <v>60.0</v>
      </c>
      <c r="Q177" s="18">
        <v>94.3</v>
      </c>
      <c r="R177" s="13" t="s">
        <v>2007</v>
      </c>
      <c r="S177" s="13" t="s">
        <v>50</v>
      </c>
      <c r="T177" s="14" t="s">
        <v>2009</v>
      </c>
      <c r="U177" s="13" t="s">
        <v>2010</v>
      </c>
      <c r="V177" s="19" t="s">
        <v>2011</v>
      </c>
      <c r="W177" s="19" t="s">
        <v>2012</v>
      </c>
      <c r="X177" s="19" t="s">
        <v>2013</v>
      </c>
      <c r="Y177" s="19" t="s">
        <v>2014</v>
      </c>
      <c r="Z177" s="20" t="s">
        <v>40</v>
      </c>
      <c r="AA177" s="2"/>
      <c r="AB177" s="2"/>
      <c r="AC177" s="2"/>
      <c r="AD177" s="2"/>
      <c r="AE177" s="2"/>
      <c r="AF177" s="2"/>
    </row>
    <row r="178" ht="22.5" customHeight="1">
      <c r="A178" s="3">
        <v>46024.85419856482</v>
      </c>
      <c r="B178" s="4" t="s">
        <v>2015</v>
      </c>
      <c r="C178" s="4" t="s">
        <v>2016</v>
      </c>
      <c r="D178" s="5" t="s">
        <v>2017</v>
      </c>
      <c r="E178" s="4" t="str">
        <f t="shared" si="1"/>
        <v>+923136781995</v>
      </c>
      <c r="F178" s="4" t="s">
        <v>2018</v>
      </c>
      <c r="G178" s="4" t="s">
        <v>2019</v>
      </c>
      <c r="H178" s="8">
        <v>3.330403883695E12</v>
      </c>
      <c r="I178" s="8">
        <v>3.330403883695E12</v>
      </c>
      <c r="J178" s="21" t="str">
        <f>IFERROR(__xludf.DUMMYFUNCTION("TEXT(REGEXREPLACE(I178, ""[^0-9]"", """"), ""00000-0000000-0"")"),"#VALUE!")</f>
        <v>#VALUE!</v>
      </c>
      <c r="K178" s="7">
        <v>38213.0</v>
      </c>
      <c r="L178" s="4" t="s">
        <v>46</v>
      </c>
      <c r="M178" s="4" t="s">
        <v>2020</v>
      </c>
      <c r="N178" s="4" t="s">
        <v>48</v>
      </c>
      <c r="O178" s="8">
        <v>7070140.0</v>
      </c>
      <c r="P178" s="8">
        <v>163.0</v>
      </c>
      <c r="Q178" s="9">
        <v>93.953</v>
      </c>
      <c r="R178" s="4" t="s">
        <v>2019</v>
      </c>
      <c r="S178" s="4" t="s">
        <v>50</v>
      </c>
      <c r="T178" s="8">
        <v>3.007970086E9</v>
      </c>
      <c r="U178" s="4" t="s">
        <v>2021</v>
      </c>
      <c r="V178" s="10" t="s">
        <v>2022</v>
      </c>
      <c r="W178" s="10" t="s">
        <v>2023</v>
      </c>
      <c r="X178" s="10" t="s">
        <v>2024</v>
      </c>
      <c r="Y178" s="10" t="s">
        <v>2025</v>
      </c>
      <c r="Z178" s="11" t="s">
        <v>40</v>
      </c>
      <c r="AA178" s="2"/>
      <c r="AB178" s="2"/>
      <c r="AC178" s="2"/>
      <c r="AD178" s="2"/>
      <c r="AE178" s="2"/>
      <c r="AF178" s="2"/>
    </row>
    <row r="179" ht="22.5" customHeight="1">
      <c r="A179" s="12">
        <v>46024.87638094908</v>
      </c>
      <c r="B179" s="13" t="s">
        <v>2026</v>
      </c>
      <c r="C179" s="13" t="s">
        <v>2026</v>
      </c>
      <c r="D179" s="14" t="s">
        <v>2027</v>
      </c>
      <c r="E179" s="13" t="str">
        <f t="shared" si="1"/>
        <v>+923029303883</v>
      </c>
      <c r="F179" s="13" t="s">
        <v>2028</v>
      </c>
      <c r="G179" s="13" t="s">
        <v>2029</v>
      </c>
      <c r="H179" s="13" t="s">
        <v>2030</v>
      </c>
      <c r="I179" s="13" t="s">
        <v>2030</v>
      </c>
      <c r="J179" s="15" t="str">
        <f>IFERROR(__xludf.DUMMYFUNCTION("TEXT(REGEXREPLACE(I179, ""[^0-9]"", """"), ""00000-0000000-0"")"),"37302-0485954-0")</f>
        <v>37302-0485954-0</v>
      </c>
      <c r="K179" s="16">
        <v>38832.0</v>
      </c>
      <c r="L179" s="13" t="s">
        <v>31</v>
      </c>
      <c r="M179" s="13" t="s">
        <v>2031</v>
      </c>
      <c r="N179" s="13" t="s">
        <v>33</v>
      </c>
      <c r="O179" s="17">
        <v>7013086.0</v>
      </c>
      <c r="P179" s="17">
        <v>236.0</v>
      </c>
      <c r="Q179" s="18">
        <v>93.8626</v>
      </c>
      <c r="R179" s="13" t="s">
        <v>2032</v>
      </c>
      <c r="S179" s="13" t="s">
        <v>50</v>
      </c>
      <c r="T179" s="14" t="s">
        <v>2033</v>
      </c>
      <c r="U179" s="23"/>
      <c r="V179" s="19" t="s">
        <v>2034</v>
      </c>
      <c r="W179" s="19" t="s">
        <v>2035</v>
      </c>
      <c r="X179" s="19" t="s">
        <v>2036</v>
      </c>
      <c r="Y179" s="19" t="s">
        <v>2037</v>
      </c>
      <c r="Z179" s="20" t="s">
        <v>40</v>
      </c>
      <c r="AA179" s="2"/>
      <c r="AB179" s="2"/>
      <c r="AC179" s="2"/>
      <c r="AD179" s="2"/>
      <c r="AE179" s="2"/>
      <c r="AF179" s="2"/>
    </row>
    <row r="180" ht="22.5" customHeight="1">
      <c r="A180" s="3">
        <v>46024.94073768519</v>
      </c>
      <c r="B180" s="4" t="s">
        <v>2038</v>
      </c>
      <c r="C180" s="4" t="s">
        <v>2038</v>
      </c>
      <c r="D180" s="5" t="s">
        <v>2039</v>
      </c>
      <c r="E180" s="4" t="str">
        <f t="shared" si="1"/>
        <v>+923163488378</v>
      </c>
      <c r="F180" s="4" t="s">
        <v>2040</v>
      </c>
      <c r="G180" s="4" t="s">
        <v>2041</v>
      </c>
      <c r="H180" s="8">
        <v>3.610397709135E12</v>
      </c>
      <c r="I180" s="8">
        <v>3.610397709135E12</v>
      </c>
      <c r="J180" s="21" t="str">
        <f>IFERROR(__xludf.DUMMYFUNCTION("TEXT(REGEXREPLACE(I180, ""[^0-9]"", """"), ""00000-0000000-0"")"),"#VALUE!")</f>
        <v>#VALUE!</v>
      </c>
      <c r="K180" s="7">
        <v>39128.0</v>
      </c>
      <c r="L180" s="4" t="s">
        <v>46</v>
      </c>
      <c r="M180" s="4" t="s">
        <v>2042</v>
      </c>
      <c r="N180" s="4" t="s">
        <v>33</v>
      </c>
      <c r="O180" s="8">
        <v>9077714.0</v>
      </c>
      <c r="P180" s="8">
        <v>231.0</v>
      </c>
      <c r="Q180" s="9">
        <v>93.87</v>
      </c>
      <c r="R180" s="4" t="s">
        <v>2043</v>
      </c>
      <c r="S180" s="4" t="s">
        <v>259</v>
      </c>
      <c r="T180" s="5" t="s">
        <v>2044</v>
      </c>
      <c r="U180" s="4" t="s">
        <v>2045</v>
      </c>
      <c r="V180" s="10" t="s">
        <v>2046</v>
      </c>
      <c r="W180" s="10" t="s">
        <v>2047</v>
      </c>
      <c r="X180" s="10" t="s">
        <v>2048</v>
      </c>
      <c r="Y180" s="10" t="s">
        <v>2049</v>
      </c>
      <c r="Z180" s="11" t="s">
        <v>40</v>
      </c>
      <c r="AA180" s="2"/>
      <c r="AB180" s="2"/>
      <c r="AC180" s="2"/>
      <c r="AD180" s="2"/>
      <c r="AE180" s="2"/>
      <c r="AF180" s="2"/>
    </row>
    <row r="181" ht="22.5" customHeight="1">
      <c r="A181" s="12">
        <v>46024.95688239583</v>
      </c>
      <c r="B181" s="13" t="s">
        <v>2038</v>
      </c>
      <c r="C181" s="13" t="s">
        <v>2038</v>
      </c>
      <c r="D181" s="14" t="s">
        <v>2050</v>
      </c>
      <c r="E181" s="24" t="str">
        <f t="shared" si="1"/>
        <v>+923163488</v>
      </c>
      <c r="F181" s="13" t="s">
        <v>2040</v>
      </c>
      <c r="G181" s="13" t="s">
        <v>2041</v>
      </c>
      <c r="H181" s="17">
        <v>3.610397709135E12</v>
      </c>
      <c r="I181" s="17">
        <v>3.610397709135E12</v>
      </c>
      <c r="J181" s="22" t="str">
        <f>IFERROR(__xludf.DUMMYFUNCTION("TEXT(REGEXREPLACE(I181, ""[^0-9]"", """"), ""00000-0000000-0"")"),"#VALUE!")</f>
        <v>#VALUE!</v>
      </c>
      <c r="K181" s="16">
        <v>39128.0</v>
      </c>
      <c r="L181" s="13" t="s">
        <v>46</v>
      </c>
      <c r="M181" s="13" t="s">
        <v>2051</v>
      </c>
      <c r="N181" s="13" t="s">
        <v>48</v>
      </c>
      <c r="O181" s="17">
        <v>9077714.0</v>
      </c>
      <c r="P181" s="17">
        <v>231.0</v>
      </c>
      <c r="Q181" s="18">
        <v>93.87</v>
      </c>
      <c r="R181" s="13" t="s">
        <v>2052</v>
      </c>
      <c r="S181" s="13" t="s">
        <v>259</v>
      </c>
      <c r="T181" s="14" t="s">
        <v>2044</v>
      </c>
      <c r="U181" s="13" t="s">
        <v>2045</v>
      </c>
      <c r="V181" s="19" t="s">
        <v>2053</v>
      </c>
      <c r="W181" s="19" t="s">
        <v>2054</v>
      </c>
      <c r="X181" s="19" t="s">
        <v>2055</v>
      </c>
      <c r="Y181" s="19" t="s">
        <v>2056</v>
      </c>
      <c r="Z181" s="20" t="s">
        <v>40</v>
      </c>
      <c r="AA181" s="2"/>
      <c r="AB181" s="2"/>
      <c r="AC181" s="2"/>
      <c r="AD181" s="2"/>
      <c r="AE181" s="2"/>
      <c r="AF181" s="2"/>
    </row>
    <row r="182" ht="22.5" customHeight="1">
      <c r="A182" s="3">
        <v>46024.99625855324</v>
      </c>
      <c r="B182" s="4" t="s">
        <v>2057</v>
      </c>
      <c r="C182" s="4" t="s">
        <v>2057</v>
      </c>
      <c r="D182" s="5" t="s">
        <v>2058</v>
      </c>
      <c r="E182" s="4" t="str">
        <f t="shared" si="1"/>
        <v>+923136911491</v>
      </c>
      <c r="F182" s="4" t="s">
        <v>2059</v>
      </c>
      <c r="G182" s="4" t="s">
        <v>2060</v>
      </c>
      <c r="H182" s="8">
        <v>3.230485570083E12</v>
      </c>
      <c r="I182" s="8">
        <v>3.230485570083E12</v>
      </c>
      <c r="J182" s="21" t="str">
        <f>IFERROR(__xludf.DUMMYFUNCTION("TEXT(REGEXREPLACE(I182, ""[^0-9]"", """"), ""00000-0000000-0"")"),"#VALUE!")</f>
        <v>#VALUE!</v>
      </c>
      <c r="K182" s="7">
        <v>39339.0</v>
      </c>
      <c r="L182" s="4" t="s">
        <v>46</v>
      </c>
      <c r="M182" s="4" t="s">
        <v>2061</v>
      </c>
      <c r="N182" s="4" t="s">
        <v>33</v>
      </c>
      <c r="O182" s="8">
        <v>9071451.0</v>
      </c>
      <c r="P182" s="8">
        <v>240.0</v>
      </c>
      <c r="Q182" s="9">
        <v>93.8606</v>
      </c>
      <c r="R182" s="4" t="s">
        <v>2062</v>
      </c>
      <c r="S182" s="4" t="s">
        <v>95</v>
      </c>
      <c r="T182" s="5" t="s">
        <v>2063</v>
      </c>
      <c r="U182" s="25"/>
      <c r="V182" s="10" t="s">
        <v>2064</v>
      </c>
      <c r="W182" s="10" t="s">
        <v>2065</v>
      </c>
      <c r="X182" s="10" t="s">
        <v>2066</v>
      </c>
      <c r="Y182" s="10" t="s">
        <v>2067</v>
      </c>
      <c r="Z182" s="11" t="s">
        <v>40</v>
      </c>
      <c r="AA182" s="2"/>
      <c r="AB182" s="2"/>
      <c r="AC182" s="2"/>
      <c r="AD182" s="2"/>
      <c r="AE182" s="2"/>
      <c r="AF182" s="2"/>
    </row>
    <row r="183" ht="22.5" customHeight="1">
      <c r="A183" s="12">
        <v>46025.016883240736</v>
      </c>
      <c r="B183" s="13" t="s">
        <v>2068</v>
      </c>
      <c r="C183" s="13" t="s">
        <v>2068</v>
      </c>
      <c r="D183" s="14" t="s">
        <v>2069</v>
      </c>
      <c r="E183" s="13" t="str">
        <f t="shared" si="1"/>
        <v>+923198551095</v>
      </c>
      <c r="F183" s="13" t="s">
        <v>2070</v>
      </c>
      <c r="G183" s="13" t="s">
        <v>2071</v>
      </c>
      <c r="H183" s="13" t="s">
        <v>2072</v>
      </c>
      <c r="I183" s="13" t="s">
        <v>2072</v>
      </c>
      <c r="J183" s="15" t="str">
        <f>IFERROR(__xludf.DUMMYFUNCTION("TEXT(REGEXREPLACE(I183, ""[^0-9]"", """"), ""00000-0000000-0"")"),"33102-3244391-6")</f>
        <v>33102-3244391-6</v>
      </c>
      <c r="K183" s="16">
        <v>38283.0</v>
      </c>
      <c r="L183" s="13" t="s">
        <v>31</v>
      </c>
      <c r="M183" s="13" t="s">
        <v>2073</v>
      </c>
      <c r="N183" s="13" t="s">
        <v>33</v>
      </c>
      <c r="O183" s="17">
        <v>2011921.0</v>
      </c>
      <c r="P183" s="17">
        <v>225.0</v>
      </c>
      <c r="Q183" s="18">
        <v>93.8717</v>
      </c>
      <c r="R183" s="13" t="s">
        <v>2071</v>
      </c>
      <c r="S183" s="13" t="s">
        <v>34</v>
      </c>
      <c r="T183" s="14" t="s">
        <v>2074</v>
      </c>
      <c r="U183" s="13" t="s">
        <v>2075</v>
      </c>
      <c r="V183" s="19" t="s">
        <v>2076</v>
      </c>
      <c r="W183" s="19" t="s">
        <v>2077</v>
      </c>
      <c r="X183" s="19" t="s">
        <v>2078</v>
      </c>
      <c r="Y183" s="19" t="s">
        <v>2079</v>
      </c>
      <c r="Z183" s="20" t="s">
        <v>40</v>
      </c>
      <c r="AA183" s="2"/>
      <c r="AB183" s="2"/>
      <c r="AC183" s="2"/>
      <c r="AD183" s="2"/>
      <c r="AE183" s="2"/>
      <c r="AF183" s="2"/>
    </row>
    <row r="184" ht="22.5" customHeight="1">
      <c r="A184" s="3">
        <v>46025.33659068287</v>
      </c>
      <c r="B184" s="4" t="s">
        <v>2080</v>
      </c>
      <c r="C184" s="4" t="s">
        <v>2080</v>
      </c>
      <c r="D184" s="4" t="s">
        <v>2081</v>
      </c>
      <c r="E184" s="4" t="str">
        <f t="shared" si="1"/>
        <v>+923121718318</v>
      </c>
      <c r="F184" s="4" t="s">
        <v>2082</v>
      </c>
      <c r="G184" s="4" t="s">
        <v>2083</v>
      </c>
      <c r="H184" s="4" t="s">
        <v>2084</v>
      </c>
      <c r="I184" s="4" t="s">
        <v>2084</v>
      </c>
      <c r="J184" s="6" t="str">
        <f>IFERROR(__xludf.DUMMYFUNCTION("TEXT(REGEXREPLACE(I184, ""[^0-9]"", """"), ""00000-0000000-0"")"),"33301-6287056-1")</f>
        <v>33301-6287056-1</v>
      </c>
      <c r="K184" s="7">
        <v>39661.0</v>
      </c>
      <c r="L184" s="4" t="s">
        <v>46</v>
      </c>
      <c r="M184" s="4" t="s">
        <v>2085</v>
      </c>
      <c r="N184" s="4" t="s">
        <v>48</v>
      </c>
      <c r="O184" s="8">
        <v>2090216.0</v>
      </c>
      <c r="P184" s="8">
        <v>122.0</v>
      </c>
      <c r="Q184" s="9">
        <v>94.03737</v>
      </c>
      <c r="R184" s="4" t="s">
        <v>2086</v>
      </c>
      <c r="S184" s="4" t="s">
        <v>34</v>
      </c>
      <c r="T184" s="4" t="s">
        <v>2087</v>
      </c>
      <c r="U184" s="4" t="s">
        <v>2080</v>
      </c>
      <c r="V184" s="10" t="s">
        <v>2088</v>
      </c>
      <c r="W184" s="10" t="s">
        <v>2089</v>
      </c>
      <c r="X184" s="10" t="s">
        <v>2090</v>
      </c>
      <c r="Y184" s="10" t="s">
        <v>2091</v>
      </c>
      <c r="Z184" s="11" t="s">
        <v>40</v>
      </c>
      <c r="AA184" s="2"/>
      <c r="AB184" s="2"/>
      <c r="AC184" s="2"/>
      <c r="AD184" s="2"/>
      <c r="AE184" s="2"/>
      <c r="AF184" s="2"/>
    </row>
    <row r="185" ht="22.5" customHeight="1">
      <c r="A185" s="12">
        <v>46025.43858611111</v>
      </c>
      <c r="B185" s="13" t="s">
        <v>2092</v>
      </c>
      <c r="C185" s="13" t="s">
        <v>2092</v>
      </c>
      <c r="D185" s="14" t="s">
        <v>2093</v>
      </c>
      <c r="E185" s="13" t="str">
        <f t="shared" si="1"/>
        <v>+923711598179</v>
      </c>
      <c r="F185" s="13" t="s">
        <v>2094</v>
      </c>
      <c r="G185" s="13" t="s">
        <v>2095</v>
      </c>
      <c r="H185" s="17">
        <v>3.740547879107E12</v>
      </c>
      <c r="I185" s="17">
        <v>3.740547879107E12</v>
      </c>
      <c r="J185" s="22" t="str">
        <f>IFERROR(__xludf.DUMMYFUNCTION("TEXT(REGEXREPLACE(I185, ""[^0-9]"", """"), ""00000-0000000-0"")"),"#VALUE!")</f>
        <v>#VALUE!</v>
      </c>
      <c r="K185" s="16">
        <v>39023.0</v>
      </c>
      <c r="L185" s="13" t="s">
        <v>46</v>
      </c>
      <c r="M185" s="13" t="s">
        <v>2096</v>
      </c>
      <c r="N185" s="13" t="s">
        <v>48</v>
      </c>
      <c r="O185" s="17">
        <v>3007743.0</v>
      </c>
      <c r="P185" s="17">
        <v>162.0</v>
      </c>
      <c r="Q185" s="18">
        <v>93.9545</v>
      </c>
      <c r="R185" s="13" t="s">
        <v>2095</v>
      </c>
      <c r="S185" s="13" t="s">
        <v>34</v>
      </c>
      <c r="T185" s="14" t="s">
        <v>2097</v>
      </c>
      <c r="U185" s="13" t="s">
        <v>2098</v>
      </c>
      <c r="V185" s="19" t="s">
        <v>2099</v>
      </c>
      <c r="W185" s="19" t="s">
        <v>2100</v>
      </c>
      <c r="X185" s="19" t="s">
        <v>2101</v>
      </c>
      <c r="Y185" s="19" t="s">
        <v>2102</v>
      </c>
      <c r="Z185" s="20" t="s">
        <v>40</v>
      </c>
      <c r="AA185" s="2"/>
      <c r="AB185" s="2"/>
      <c r="AC185" s="2"/>
      <c r="AD185" s="2"/>
      <c r="AE185" s="2"/>
      <c r="AF185" s="2"/>
    </row>
    <row r="186" ht="22.5" customHeight="1">
      <c r="A186" s="3">
        <v>46025.59442658565</v>
      </c>
      <c r="B186" s="4" t="s">
        <v>2103</v>
      </c>
      <c r="C186" s="4" t="s">
        <v>2104</v>
      </c>
      <c r="D186" s="5" t="s">
        <v>2105</v>
      </c>
      <c r="E186" s="4" t="str">
        <f t="shared" si="1"/>
        <v>+923210396622</v>
      </c>
      <c r="F186" s="4" t="s">
        <v>2106</v>
      </c>
      <c r="G186" s="4" t="s">
        <v>312</v>
      </c>
      <c r="H186" s="8">
        <v>3.31027882312E12</v>
      </c>
      <c r="I186" s="8">
        <v>3.31027882312E12</v>
      </c>
      <c r="J186" s="21" t="str">
        <f>IFERROR(__xludf.DUMMYFUNCTION("TEXT(REGEXREPLACE(I186, ""[^0-9]"", """"), ""00000-0000000-0"")"),"#VALUE!")</f>
        <v>#VALUE!</v>
      </c>
      <c r="K186" s="7">
        <v>39012.0</v>
      </c>
      <c r="L186" s="4" t="s">
        <v>31</v>
      </c>
      <c r="M186" s="4" t="s">
        <v>2107</v>
      </c>
      <c r="N186" s="4" t="s">
        <v>33</v>
      </c>
      <c r="O186" s="8">
        <v>2012884.0</v>
      </c>
      <c r="P186" s="8">
        <v>82.0</v>
      </c>
      <c r="Q186" s="9">
        <v>94.1818</v>
      </c>
      <c r="R186" s="4" t="s">
        <v>2108</v>
      </c>
      <c r="S186" s="4" t="s">
        <v>2109</v>
      </c>
      <c r="T186" s="5" t="s">
        <v>2110</v>
      </c>
      <c r="U186" s="4" t="s">
        <v>2111</v>
      </c>
      <c r="V186" s="10" t="s">
        <v>2112</v>
      </c>
      <c r="W186" s="10" t="s">
        <v>2113</v>
      </c>
      <c r="X186" s="10" t="s">
        <v>2114</v>
      </c>
      <c r="Y186" s="10" t="s">
        <v>2115</v>
      </c>
      <c r="Z186" s="11" t="s">
        <v>40</v>
      </c>
      <c r="AA186" s="2"/>
      <c r="AB186" s="2"/>
      <c r="AC186" s="2"/>
      <c r="AD186" s="2"/>
      <c r="AE186" s="2"/>
      <c r="AF186" s="2"/>
    </row>
    <row r="187" ht="22.5" customHeight="1">
      <c r="A187" s="12">
        <v>46025.618187245374</v>
      </c>
      <c r="B187" s="13" t="s">
        <v>2116</v>
      </c>
      <c r="C187" s="13" t="s">
        <v>2116</v>
      </c>
      <c r="D187" s="13" t="s">
        <v>2117</v>
      </c>
      <c r="E187" s="24" t="str">
        <f t="shared" si="1"/>
        <v>+92305-5955343</v>
      </c>
      <c r="F187" s="13" t="s">
        <v>2118</v>
      </c>
      <c r="G187" s="13" t="s">
        <v>2119</v>
      </c>
      <c r="H187" s="13" t="s">
        <v>2120</v>
      </c>
      <c r="I187" s="13" t="s">
        <v>2120</v>
      </c>
      <c r="J187" s="15" t="str">
        <f>IFERROR(__xludf.DUMMYFUNCTION("TEXT(REGEXREPLACE(I187, ""[^0-9]"", """"), ""00000-0000000-0"")"),"33301-3336182-2")</f>
        <v>33301-3336182-2</v>
      </c>
      <c r="K187" s="16">
        <v>39268.0</v>
      </c>
      <c r="L187" s="13" t="s">
        <v>31</v>
      </c>
      <c r="M187" s="13" t="s">
        <v>2121</v>
      </c>
      <c r="N187" s="13" t="s">
        <v>33</v>
      </c>
      <c r="O187" s="17">
        <v>2012754.0</v>
      </c>
      <c r="P187" s="17">
        <v>135.0</v>
      </c>
      <c r="Q187" s="18">
        <v>94.0051</v>
      </c>
      <c r="R187" s="13" t="s">
        <v>2122</v>
      </c>
      <c r="S187" s="13" t="s">
        <v>95</v>
      </c>
      <c r="T187" s="13" t="s">
        <v>2123</v>
      </c>
      <c r="U187" s="13" t="s">
        <v>2124</v>
      </c>
      <c r="V187" s="23"/>
      <c r="W187" s="23"/>
      <c r="X187" s="23"/>
      <c r="Y187" s="23"/>
      <c r="Z187" s="20" t="s">
        <v>40</v>
      </c>
      <c r="AA187" s="2"/>
      <c r="AB187" s="2"/>
      <c r="AC187" s="2"/>
      <c r="AD187" s="2"/>
      <c r="AE187" s="2"/>
      <c r="AF187" s="2"/>
    </row>
    <row r="188" ht="22.5" customHeight="1">
      <c r="A188" s="3">
        <v>46025.62058429398</v>
      </c>
      <c r="B188" s="4" t="s">
        <v>2125</v>
      </c>
      <c r="C188" s="4" t="s">
        <v>2125</v>
      </c>
      <c r="D188" s="5" t="s">
        <v>2126</v>
      </c>
      <c r="E188" s="4" t="str">
        <f t="shared" si="1"/>
        <v>+923221645921</v>
      </c>
      <c r="F188" s="4" t="s">
        <v>2127</v>
      </c>
      <c r="G188" s="4" t="s">
        <v>2128</v>
      </c>
      <c r="H188" s="8">
        <v>3.310022634614E12</v>
      </c>
      <c r="I188" s="8">
        <v>3.310022634614E12</v>
      </c>
      <c r="J188" s="21" t="str">
        <f>IFERROR(__xludf.DUMMYFUNCTION("TEXT(REGEXREPLACE(I188, ""[^0-9]"", """"), ""00000-0000000-0"")"),"#VALUE!")</f>
        <v>#VALUE!</v>
      </c>
      <c r="K188" s="7">
        <v>38541.0</v>
      </c>
      <c r="L188" s="4" t="s">
        <v>31</v>
      </c>
      <c r="M188" s="4" t="s">
        <v>2129</v>
      </c>
      <c r="N188" s="4" t="s">
        <v>33</v>
      </c>
      <c r="O188" s="8">
        <v>2012969.0</v>
      </c>
      <c r="P188" s="8">
        <v>71.0</v>
      </c>
      <c r="Q188" s="9">
        <v>94.24444</v>
      </c>
      <c r="R188" s="4" t="s">
        <v>2128</v>
      </c>
      <c r="S188" s="4" t="s">
        <v>34</v>
      </c>
      <c r="T188" s="5" t="s">
        <v>2130</v>
      </c>
      <c r="U188" s="4" t="s">
        <v>2131</v>
      </c>
      <c r="V188" s="10" t="s">
        <v>2132</v>
      </c>
      <c r="W188" s="10" t="s">
        <v>2133</v>
      </c>
      <c r="X188" s="10" t="s">
        <v>2134</v>
      </c>
      <c r="Y188" s="10" t="s">
        <v>2135</v>
      </c>
      <c r="Z188" s="11" t="s">
        <v>40</v>
      </c>
      <c r="AA188" s="2"/>
      <c r="AB188" s="2"/>
      <c r="AC188" s="2"/>
      <c r="AD188" s="2"/>
      <c r="AE188" s="2"/>
      <c r="AF188" s="2"/>
    </row>
    <row r="189" ht="22.5" customHeight="1">
      <c r="A189" s="12">
        <v>46025.63756701389</v>
      </c>
      <c r="B189" s="13" t="s">
        <v>2136</v>
      </c>
      <c r="C189" s="13" t="s">
        <v>2136</v>
      </c>
      <c r="D189" s="14" t="s">
        <v>2137</v>
      </c>
      <c r="E189" s="13" t="str">
        <f t="shared" si="1"/>
        <v>+923045446039</v>
      </c>
      <c r="F189" s="13" t="s">
        <v>2138</v>
      </c>
      <c r="G189" s="13" t="s">
        <v>2139</v>
      </c>
      <c r="H189" s="17">
        <v>3.230321110409E12</v>
      </c>
      <c r="I189" s="17">
        <v>3.230321110409E12</v>
      </c>
      <c r="J189" s="22" t="str">
        <f>IFERROR(__xludf.DUMMYFUNCTION("TEXT(REGEXREPLACE(I189, ""[^0-9]"", """"), ""00000-0000000-0"")"),"#VALUE!")</f>
        <v>#VALUE!</v>
      </c>
      <c r="K189" s="16">
        <v>37442.0</v>
      </c>
      <c r="L189" s="13" t="s">
        <v>46</v>
      </c>
      <c r="M189" s="13" t="s">
        <v>2140</v>
      </c>
      <c r="N189" s="13" t="s">
        <v>33</v>
      </c>
      <c r="O189" s="17">
        <v>9071953.0</v>
      </c>
      <c r="P189" s="17">
        <v>186.0</v>
      </c>
      <c r="Q189" s="18">
        <v>93.9182</v>
      </c>
      <c r="R189" s="13" t="s">
        <v>2141</v>
      </c>
      <c r="S189" s="13" t="s">
        <v>259</v>
      </c>
      <c r="T189" s="13" t="s">
        <v>2142</v>
      </c>
      <c r="U189" s="13" t="s">
        <v>2143</v>
      </c>
      <c r="V189" s="19" t="s">
        <v>2144</v>
      </c>
      <c r="W189" s="19" t="s">
        <v>2145</v>
      </c>
      <c r="X189" s="19" t="s">
        <v>2146</v>
      </c>
      <c r="Y189" s="19" t="s">
        <v>2147</v>
      </c>
      <c r="Z189" s="20" t="s">
        <v>40</v>
      </c>
      <c r="AA189" s="2"/>
      <c r="AB189" s="2"/>
      <c r="AC189" s="2"/>
      <c r="AD189" s="2"/>
      <c r="AE189" s="2"/>
      <c r="AF189" s="2"/>
    </row>
    <row r="190" ht="22.5" customHeight="1">
      <c r="A190" s="3">
        <v>46025.64182748843</v>
      </c>
      <c r="B190" s="4" t="s">
        <v>2148</v>
      </c>
      <c r="C190" s="4" t="s">
        <v>2148</v>
      </c>
      <c r="D190" s="5" t="s">
        <v>2149</v>
      </c>
      <c r="E190" s="4" t="str">
        <f t="shared" si="1"/>
        <v>+923245956109</v>
      </c>
      <c r="F190" s="4" t="s">
        <v>2150</v>
      </c>
      <c r="G190" s="4" t="s">
        <v>2151</v>
      </c>
      <c r="H190" s="4" t="s">
        <v>2152</v>
      </c>
      <c r="I190" s="4" t="s">
        <v>2152</v>
      </c>
      <c r="J190" s="6" t="str">
        <f>IFERROR(__xludf.DUMMYFUNCTION("TEXT(REGEXREPLACE(I190, ""[^0-9]"", """"), ""00000-0000000-0"")"),"33102-0220140-7")</f>
        <v>33102-0220140-7</v>
      </c>
      <c r="K190" s="7">
        <v>37040.0</v>
      </c>
      <c r="L190" s="4" t="s">
        <v>46</v>
      </c>
      <c r="M190" s="4" t="s">
        <v>2153</v>
      </c>
      <c r="N190" s="4" t="s">
        <v>33</v>
      </c>
      <c r="O190" s="8">
        <v>3006786.0</v>
      </c>
      <c r="P190" s="8">
        <v>35.0</v>
      </c>
      <c r="Q190" s="9">
        <v>94.4273</v>
      </c>
      <c r="R190" s="4" t="s">
        <v>2151</v>
      </c>
      <c r="S190" s="4" t="s">
        <v>34</v>
      </c>
      <c r="T190" s="4" t="s">
        <v>2154</v>
      </c>
      <c r="U190" s="4" t="s">
        <v>2155</v>
      </c>
      <c r="V190" s="10" t="s">
        <v>2156</v>
      </c>
      <c r="W190" s="10" t="s">
        <v>2157</v>
      </c>
      <c r="X190" s="10" t="s">
        <v>2158</v>
      </c>
      <c r="Y190" s="10" t="s">
        <v>2159</v>
      </c>
      <c r="Z190" s="11" t="s">
        <v>40</v>
      </c>
      <c r="AA190" s="2"/>
      <c r="AB190" s="2"/>
      <c r="AC190" s="2"/>
      <c r="AD190" s="2"/>
      <c r="AE190" s="2"/>
      <c r="AF190" s="2"/>
    </row>
    <row r="191" ht="22.5" customHeight="1">
      <c r="A191" s="12">
        <v>46025.64258719907</v>
      </c>
      <c r="B191" s="13" t="s">
        <v>2160</v>
      </c>
      <c r="C191" s="13" t="s">
        <v>2160</v>
      </c>
      <c r="D191" s="14" t="s">
        <v>2161</v>
      </c>
      <c r="E191" s="13" t="str">
        <f t="shared" si="1"/>
        <v>+923161775868</v>
      </c>
      <c r="F191" s="13" t="s">
        <v>2162</v>
      </c>
      <c r="G191" s="13" t="s">
        <v>2163</v>
      </c>
      <c r="H191" s="13" t="s">
        <v>2164</v>
      </c>
      <c r="I191" s="13" t="s">
        <v>2164</v>
      </c>
      <c r="J191" s="15" t="str">
        <f>IFERROR(__xludf.DUMMYFUNCTION("TEXT(REGEXREPLACE(I191, ""[^0-9]"", """"), ""00000-0000000-0"")"),"34601-9498712-7")</f>
        <v>34601-9498712-7</v>
      </c>
      <c r="K191" s="16">
        <v>39399.0</v>
      </c>
      <c r="L191" s="13" t="s">
        <v>46</v>
      </c>
      <c r="M191" s="13" t="s">
        <v>2165</v>
      </c>
      <c r="N191" s="13" t="s">
        <v>93</v>
      </c>
      <c r="O191" s="17">
        <v>4050257.0</v>
      </c>
      <c r="P191" s="17">
        <v>176.0</v>
      </c>
      <c r="Q191" s="18">
        <v>93.92</v>
      </c>
      <c r="R191" s="13" t="s">
        <v>2163</v>
      </c>
      <c r="S191" s="13" t="s">
        <v>50</v>
      </c>
      <c r="T191" s="14" t="s">
        <v>2166</v>
      </c>
      <c r="U191" s="13" t="s">
        <v>2167</v>
      </c>
      <c r="V191" s="19" t="s">
        <v>2168</v>
      </c>
      <c r="W191" s="19" t="s">
        <v>2169</v>
      </c>
      <c r="X191" s="23"/>
      <c r="Y191" s="23"/>
      <c r="Z191" s="20" t="s">
        <v>40</v>
      </c>
      <c r="AA191" s="2"/>
      <c r="AB191" s="2"/>
      <c r="AC191" s="2"/>
      <c r="AD191" s="2"/>
      <c r="AE191" s="2"/>
      <c r="AF191" s="2"/>
    </row>
    <row r="192" ht="22.5" customHeight="1">
      <c r="A192" s="3">
        <v>46025.65697761574</v>
      </c>
      <c r="B192" s="4" t="s">
        <v>2116</v>
      </c>
      <c r="C192" s="4" t="s">
        <v>2116</v>
      </c>
      <c r="D192" s="4" t="s">
        <v>2117</v>
      </c>
      <c r="E192" s="26" t="str">
        <f t="shared" si="1"/>
        <v>+92305-5955343</v>
      </c>
      <c r="F192" s="4" t="s">
        <v>2118</v>
      </c>
      <c r="G192" s="4" t="s">
        <v>2119</v>
      </c>
      <c r="H192" s="4" t="s">
        <v>2120</v>
      </c>
      <c r="I192" s="4" t="s">
        <v>2120</v>
      </c>
      <c r="J192" s="6" t="str">
        <f>IFERROR(__xludf.DUMMYFUNCTION("TEXT(REGEXREPLACE(I192, ""[^0-9]"", """"), ""00000-0000000-0"")"),"33301-3336182-2")</f>
        <v>33301-3336182-2</v>
      </c>
      <c r="K192" s="7">
        <v>39268.0</v>
      </c>
      <c r="L192" s="4" t="s">
        <v>31</v>
      </c>
      <c r="M192" s="4" t="s">
        <v>2170</v>
      </c>
      <c r="N192" s="4" t="s">
        <v>33</v>
      </c>
      <c r="O192" s="8">
        <v>2012754.0</v>
      </c>
      <c r="P192" s="8">
        <v>135.0</v>
      </c>
      <c r="Q192" s="9">
        <v>94.0051</v>
      </c>
      <c r="R192" s="4" t="s">
        <v>2122</v>
      </c>
      <c r="S192" s="4" t="s">
        <v>95</v>
      </c>
      <c r="T192" s="4" t="s">
        <v>2123</v>
      </c>
      <c r="U192" s="4" t="s">
        <v>2124</v>
      </c>
      <c r="V192" s="10" t="s">
        <v>2171</v>
      </c>
      <c r="W192" s="10" t="s">
        <v>2172</v>
      </c>
      <c r="X192" s="10" t="s">
        <v>2173</v>
      </c>
      <c r="Y192" s="10" t="s">
        <v>2174</v>
      </c>
      <c r="Z192" s="11" t="s">
        <v>40</v>
      </c>
      <c r="AA192" s="2"/>
      <c r="AB192" s="2"/>
      <c r="AC192" s="2"/>
      <c r="AD192" s="2"/>
      <c r="AE192" s="2"/>
      <c r="AF192" s="2"/>
    </row>
    <row r="193" ht="22.5" customHeight="1">
      <c r="A193" s="12">
        <v>46025.66666152778</v>
      </c>
      <c r="B193" s="13" t="s">
        <v>2155</v>
      </c>
      <c r="C193" s="13" t="s">
        <v>2155</v>
      </c>
      <c r="D193" s="14" t="s">
        <v>2175</v>
      </c>
      <c r="E193" s="13" t="str">
        <f t="shared" si="1"/>
        <v>+923186264679</v>
      </c>
      <c r="F193" s="13" t="s">
        <v>2176</v>
      </c>
      <c r="G193" s="13" t="s">
        <v>2151</v>
      </c>
      <c r="H193" s="17">
        <v>3.310280532609E12</v>
      </c>
      <c r="I193" s="17">
        <v>3.310280532609E12</v>
      </c>
      <c r="J193" s="22" t="str">
        <f>IFERROR(__xludf.DUMMYFUNCTION("TEXT(REGEXREPLACE(I193, ""[^0-9]"", """"), ""00000-0000000-0"")"),"#VALUE!")</f>
        <v>#VALUE!</v>
      </c>
      <c r="K193" s="16">
        <v>38134.0</v>
      </c>
      <c r="L193" s="13" t="s">
        <v>46</v>
      </c>
      <c r="M193" s="13" t="s">
        <v>2177</v>
      </c>
      <c r="N193" s="13" t="s">
        <v>33</v>
      </c>
      <c r="O193" s="17">
        <v>2090764.0</v>
      </c>
      <c r="P193" s="17">
        <v>164.0</v>
      </c>
      <c r="Q193" s="18">
        <v>93.9525</v>
      </c>
      <c r="R193" s="13" t="s">
        <v>2151</v>
      </c>
      <c r="S193" s="13" t="s">
        <v>34</v>
      </c>
      <c r="T193" s="13" t="s">
        <v>2154</v>
      </c>
      <c r="U193" s="13" t="s">
        <v>2178</v>
      </c>
      <c r="V193" s="19" t="s">
        <v>2179</v>
      </c>
      <c r="W193" s="19" t="s">
        <v>2180</v>
      </c>
      <c r="X193" s="19" t="s">
        <v>2181</v>
      </c>
      <c r="Y193" s="19" t="s">
        <v>2182</v>
      </c>
      <c r="Z193" s="20" t="s">
        <v>40</v>
      </c>
      <c r="AA193" s="2"/>
      <c r="AB193" s="2"/>
      <c r="AC193" s="2"/>
      <c r="AD193" s="2"/>
      <c r="AE193" s="2"/>
      <c r="AF193" s="2"/>
    </row>
    <row r="194" ht="22.5" customHeight="1">
      <c r="A194" s="3">
        <v>46025.704877627315</v>
      </c>
      <c r="B194" s="4" t="s">
        <v>1577</v>
      </c>
      <c r="C194" s="4" t="s">
        <v>1577</v>
      </c>
      <c r="D194" s="5" t="s">
        <v>1578</v>
      </c>
      <c r="E194" s="4" t="str">
        <f t="shared" si="1"/>
        <v>+923324318039</v>
      </c>
      <c r="F194" s="4" t="s">
        <v>2183</v>
      </c>
      <c r="G194" s="4" t="s">
        <v>1580</v>
      </c>
      <c r="H194" s="8">
        <v>3.430156802248E12</v>
      </c>
      <c r="I194" s="8">
        <v>3.430156802248E12</v>
      </c>
      <c r="J194" s="21" t="str">
        <f>IFERROR(__xludf.DUMMYFUNCTION("TEXT(REGEXREPLACE(I194, ""[^0-9]"", """"), ""00000-0000000-0"")"),"#VALUE!")</f>
        <v>#VALUE!</v>
      </c>
      <c r="K194" s="7">
        <v>39427.0</v>
      </c>
      <c r="L194" s="4" t="s">
        <v>31</v>
      </c>
      <c r="M194" s="4" t="s">
        <v>2184</v>
      </c>
      <c r="N194" s="4" t="s">
        <v>33</v>
      </c>
      <c r="O194" s="8">
        <v>2010175.0</v>
      </c>
      <c r="P194" s="8">
        <v>6.0</v>
      </c>
      <c r="Q194" s="9">
        <v>95.1778</v>
      </c>
      <c r="R194" s="4" t="s">
        <v>1583</v>
      </c>
      <c r="S194" s="4" t="s">
        <v>34</v>
      </c>
      <c r="T194" s="5" t="s">
        <v>1584</v>
      </c>
      <c r="U194" s="4" t="s">
        <v>1585</v>
      </c>
      <c r="V194" s="10" t="s">
        <v>2185</v>
      </c>
      <c r="W194" s="10" t="s">
        <v>2186</v>
      </c>
      <c r="X194" s="10" t="s">
        <v>2187</v>
      </c>
      <c r="Y194" s="10" t="s">
        <v>2188</v>
      </c>
      <c r="Z194" s="11" t="s">
        <v>40</v>
      </c>
      <c r="AA194" s="2"/>
      <c r="AB194" s="2"/>
      <c r="AC194" s="2"/>
      <c r="AD194" s="2"/>
      <c r="AE194" s="2"/>
      <c r="AF194" s="2"/>
    </row>
    <row r="195" ht="22.5" customHeight="1">
      <c r="A195" s="12">
        <v>46025.75510201389</v>
      </c>
      <c r="B195" s="13" t="s">
        <v>2189</v>
      </c>
      <c r="C195" s="13" t="s">
        <v>79</v>
      </c>
      <c r="D195" s="14" t="s">
        <v>2190</v>
      </c>
      <c r="E195" s="13" t="str">
        <f t="shared" si="1"/>
        <v>+923078317543</v>
      </c>
      <c r="F195" s="13" t="s">
        <v>2191</v>
      </c>
      <c r="G195" s="13" t="s">
        <v>745</v>
      </c>
      <c r="H195" s="13" t="s">
        <v>2192</v>
      </c>
      <c r="I195" s="13" t="s">
        <v>2192</v>
      </c>
      <c r="J195" s="15" t="str">
        <f>IFERROR(__xludf.DUMMYFUNCTION("TEXT(REGEXREPLACE(I195, ""[^0-9]"", """"), ""00000-0000000-0"")"),"33100-0832399-1")</f>
        <v>33100-0832399-1</v>
      </c>
      <c r="K195" s="16">
        <v>37293.0</v>
      </c>
      <c r="L195" s="13" t="s">
        <v>46</v>
      </c>
      <c r="M195" s="13" t="s">
        <v>2193</v>
      </c>
      <c r="N195" s="13" t="s">
        <v>33</v>
      </c>
      <c r="O195" s="17">
        <v>2090891.0</v>
      </c>
      <c r="P195" s="17">
        <v>19.0</v>
      </c>
      <c r="Q195" s="18">
        <v>94.7303</v>
      </c>
      <c r="R195" s="13" t="s">
        <v>745</v>
      </c>
      <c r="S195" s="13" t="s">
        <v>34</v>
      </c>
      <c r="T195" s="14" t="s">
        <v>2194</v>
      </c>
      <c r="U195" s="23"/>
      <c r="V195" s="19" t="s">
        <v>2195</v>
      </c>
      <c r="W195" s="19" t="s">
        <v>2196</v>
      </c>
      <c r="X195" s="19" t="s">
        <v>2197</v>
      </c>
      <c r="Y195" s="19" t="s">
        <v>2198</v>
      </c>
      <c r="Z195" s="20" t="s">
        <v>40</v>
      </c>
      <c r="AA195" s="2"/>
      <c r="AB195" s="2"/>
      <c r="AC195" s="2"/>
      <c r="AD195" s="2"/>
      <c r="AE195" s="2"/>
      <c r="AF195" s="2"/>
    </row>
    <row r="196" ht="22.5" customHeight="1">
      <c r="A196" s="3">
        <v>46025.75923253472</v>
      </c>
      <c r="B196" s="4" t="s">
        <v>2199</v>
      </c>
      <c r="C196" s="4" t="s">
        <v>2200</v>
      </c>
      <c r="D196" s="5" t="s">
        <v>2201</v>
      </c>
      <c r="E196" s="4" t="str">
        <f t="shared" si="1"/>
        <v>+923121447568</v>
      </c>
      <c r="F196" s="4" t="s">
        <v>2202</v>
      </c>
      <c r="G196" s="4" t="s">
        <v>2203</v>
      </c>
      <c r="H196" s="8">
        <v>3.810234917813E12</v>
      </c>
      <c r="I196" s="8">
        <v>3.810234917813E12</v>
      </c>
      <c r="J196" s="21" t="str">
        <f>IFERROR(__xludf.DUMMYFUNCTION("TEXT(REGEXREPLACE(I196, ""[^0-9]"", """"), ""00000-0000000-0"")"),"#VALUE!")</f>
        <v>#VALUE!</v>
      </c>
      <c r="K196" s="7">
        <v>39225.0</v>
      </c>
      <c r="L196" s="4" t="s">
        <v>46</v>
      </c>
      <c r="M196" s="4" t="s">
        <v>2204</v>
      </c>
      <c r="N196" s="4" t="s">
        <v>33</v>
      </c>
      <c r="O196" s="8">
        <v>7081212.0</v>
      </c>
      <c r="P196" s="8">
        <v>251.0</v>
      </c>
      <c r="Q196" s="9">
        <v>93.8404</v>
      </c>
      <c r="R196" s="4" t="s">
        <v>2203</v>
      </c>
      <c r="S196" s="4" t="s">
        <v>34</v>
      </c>
      <c r="T196" s="5" t="s">
        <v>2205</v>
      </c>
      <c r="U196" s="4" t="s">
        <v>2206</v>
      </c>
      <c r="V196" s="10" t="s">
        <v>2207</v>
      </c>
      <c r="W196" s="10" t="s">
        <v>2208</v>
      </c>
      <c r="X196" s="10" t="s">
        <v>2209</v>
      </c>
      <c r="Y196" s="10" t="s">
        <v>2210</v>
      </c>
      <c r="Z196" s="11" t="s">
        <v>40</v>
      </c>
      <c r="AA196" s="2"/>
      <c r="AB196" s="2"/>
      <c r="AC196" s="2"/>
      <c r="AD196" s="2"/>
      <c r="AE196" s="2"/>
      <c r="AF196" s="2"/>
    </row>
    <row r="197" ht="22.5" customHeight="1">
      <c r="A197" s="12">
        <v>46025.77242178241</v>
      </c>
      <c r="B197" s="13" t="s">
        <v>2211</v>
      </c>
      <c r="C197" s="13" t="s">
        <v>2212</v>
      </c>
      <c r="D197" s="14" t="s">
        <v>2213</v>
      </c>
      <c r="E197" s="13" t="str">
        <f t="shared" si="1"/>
        <v>+923041540372</v>
      </c>
      <c r="F197" s="13" t="s">
        <v>2214</v>
      </c>
      <c r="G197" s="13" t="s">
        <v>2215</v>
      </c>
      <c r="H197" s="13" t="s">
        <v>2216</v>
      </c>
      <c r="I197" s="13" t="s">
        <v>2216</v>
      </c>
      <c r="J197" s="15" t="str">
        <f>IFERROR(__xludf.DUMMYFUNCTION("TEXT(REGEXREPLACE(I197, ""[^0-9]"", """"), ""00000-0000000-0"")"),"33105-3822033-7")</f>
        <v>33105-3822033-7</v>
      </c>
      <c r="K197" s="16">
        <v>39443.0</v>
      </c>
      <c r="L197" s="13" t="s">
        <v>46</v>
      </c>
      <c r="M197" s="13" t="s">
        <v>2217</v>
      </c>
      <c r="N197" s="13" t="s">
        <v>33</v>
      </c>
      <c r="O197" s="17">
        <v>2090776.0</v>
      </c>
      <c r="P197" s="17">
        <v>53.0</v>
      </c>
      <c r="Q197" s="18">
        <v>94.3475</v>
      </c>
      <c r="R197" s="13" t="s">
        <v>2215</v>
      </c>
      <c r="S197" s="13" t="s">
        <v>34</v>
      </c>
      <c r="T197" s="14" t="s">
        <v>2218</v>
      </c>
      <c r="U197" s="13" t="s">
        <v>2219</v>
      </c>
      <c r="V197" s="19" t="s">
        <v>2220</v>
      </c>
      <c r="W197" s="19" t="s">
        <v>2221</v>
      </c>
      <c r="X197" s="19" t="s">
        <v>2222</v>
      </c>
      <c r="Y197" s="19" t="s">
        <v>2223</v>
      </c>
      <c r="Z197" s="20" t="s">
        <v>40</v>
      </c>
      <c r="AA197" s="2"/>
      <c r="AB197" s="2"/>
      <c r="AC197" s="2"/>
      <c r="AD197" s="2"/>
      <c r="AE197" s="2"/>
      <c r="AF197" s="2"/>
    </row>
    <row r="198" ht="22.5" customHeight="1">
      <c r="A198" s="3">
        <v>46025.77664157408</v>
      </c>
      <c r="B198" s="4" t="s">
        <v>2224</v>
      </c>
      <c r="C198" s="4" t="s">
        <v>2224</v>
      </c>
      <c r="D198" s="5" t="s">
        <v>2225</v>
      </c>
      <c r="E198" s="4" t="str">
        <f t="shared" si="1"/>
        <v>+923437559342</v>
      </c>
      <c r="F198" s="4" t="s">
        <v>2226</v>
      </c>
      <c r="G198" s="4" t="s">
        <v>2227</v>
      </c>
      <c r="H198" s="8">
        <v>3.310019670862E12</v>
      </c>
      <c r="I198" s="8">
        <v>3.310019670862E12</v>
      </c>
      <c r="J198" s="21" t="str">
        <f>IFERROR(__xludf.DUMMYFUNCTION("TEXT(REGEXREPLACE(I198, ""[^0-9]"", """"), ""00000-0000000-0"")"),"#VALUE!")</f>
        <v>#VALUE!</v>
      </c>
      <c r="K198" s="7">
        <v>38517.0</v>
      </c>
      <c r="L198" s="4" t="s">
        <v>31</v>
      </c>
      <c r="M198" s="4" t="s">
        <v>2228</v>
      </c>
      <c r="N198" s="4" t="s">
        <v>33</v>
      </c>
      <c r="O198" s="8">
        <v>2011224.0</v>
      </c>
      <c r="P198" s="8">
        <v>115.0</v>
      </c>
      <c r="Q198" s="9">
        <v>94.0727</v>
      </c>
      <c r="R198" s="4" t="s">
        <v>2227</v>
      </c>
      <c r="S198" s="4" t="s">
        <v>34</v>
      </c>
      <c r="T198" s="5" t="s">
        <v>2229</v>
      </c>
      <c r="U198" s="4" t="s">
        <v>2230</v>
      </c>
      <c r="V198" s="10" t="s">
        <v>2231</v>
      </c>
      <c r="W198" s="10" t="s">
        <v>2232</v>
      </c>
      <c r="X198" s="10" t="s">
        <v>2233</v>
      </c>
      <c r="Y198" s="10" t="s">
        <v>2234</v>
      </c>
      <c r="Z198" s="11" t="s">
        <v>40</v>
      </c>
      <c r="AA198" s="2"/>
      <c r="AB198" s="2"/>
      <c r="AC198" s="2"/>
      <c r="AD198" s="2"/>
      <c r="AE198" s="2"/>
      <c r="AF198" s="2"/>
    </row>
    <row r="199" ht="22.5" customHeight="1">
      <c r="A199" s="12">
        <v>46025.80465515047</v>
      </c>
      <c r="B199" s="13" t="s">
        <v>2235</v>
      </c>
      <c r="C199" s="13" t="s">
        <v>2235</v>
      </c>
      <c r="D199" s="14" t="s">
        <v>2236</v>
      </c>
      <c r="E199" s="13" t="str">
        <f t="shared" si="1"/>
        <v>+923258512929</v>
      </c>
      <c r="F199" s="13" t="s">
        <v>2237</v>
      </c>
      <c r="G199" s="13" t="s">
        <v>2238</v>
      </c>
      <c r="H199" s="13" t="s">
        <v>2239</v>
      </c>
      <c r="I199" s="13" t="s">
        <v>2239</v>
      </c>
      <c r="J199" s="15" t="str">
        <f>IFERROR(__xludf.DUMMYFUNCTION("TEXT(REGEXREPLACE(I199, ""[^0-9]"", """"), ""00000-0000000-0"")"),"33103-8912009-8")</f>
        <v>33103-8912009-8</v>
      </c>
      <c r="K199" s="16">
        <v>38393.0</v>
      </c>
      <c r="L199" s="13" t="s">
        <v>31</v>
      </c>
      <c r="M199" s="13" t="s">
        <v>2240</v>
      </c>
      <c r="N199" s="13" t="s">
        <v>33</v>
      </c>
      <c r="O199" s="17">
        <v>2012206.0</v>
      </c>
      <c r="P199" s="17">
        <v>120.0</v>
      </c>
      <c r="Q199" s="18">
        <v>94.05</v>
      </c>
      <c r="R199" s="13" t="s">
        <v>2241</v>
      </c>
      <c r="S199" s="13" t="s">
        <v>95</v>
      </c>
      <c r="T199" s="14" t="s">
        <v>2242</v>
      </c>
      <c r="U199" s="13" t="s">
        <v>2243</v>
      </c>
      <c r="V199" s="19" t="s">
        <v>2244</v>
      </c>
      <c r="W199" s="19" t="s">
        <v>2245</v>
      </c>
      <c r="X199" s="19" t="s">
        <v>2246</v>
      </c>
      <c r="Y199" s="19" t="s">
        <v>2247</v>
      </c>
      <c r="Z199" s="20" t="s">
        <v>40</v>
      </c>
      <c r="AA199" s="2"/>
      <c r="AB199" s="2"/>
      <c r="AC199" s="2"/>
      <c r="AD199" s="2"/>
      <c r="AE199" s="2"/>
      <c r="AF199" s="2"/>
    </row>
    <row r="200" ht="22.5" customHeight="1">
      <c r="A200" s="3">
        <v>46025.97763349537</v>
      </c>
      <c r="B200" s="4" t="s">
        <v>2248</v>
      </c>
      <c r="C200" s="4" t="s">
        <v>2248</v>
      </c>
      <c r="D200" s="5" t="s">
        <v>2249</v>
      </c>
      <c r="E200" s="4" t="str">
        <f t="shared" si="1"/>
        <v>+923206854301</v>
      </c>
      <c r="F200" s="4" t="s">
        <v>2250</v>
      </c>
      <c r="G200" s="4" t="s">
        <v>1817</v>
      </c>
      <c r="H200" s="4" t="s">
        <v>2251</v>
      </c>
      <c r="I200" s="4" t="s">
        <v>2251</v>
      </c>
      <c r="J200" s="6" t="str">
        <f>IFERROR(__xludf.DUMMYFUNCTION("TEXT(REGEXREPLACE(I200, ""[^0-9]"", """"), ""00000-0000000-0"")"),"35501-0636259-5")</f>
        <v>35501-0636259-5</v>
      </c>
      <c r="K200" s="7">
        <v>38462.0</v>
      </c>
      <c r="L200" s="4" t="s">
        <v>46</v>
      </c>
      <c r="M200" s="4" t="s">
        <v>2252</v>
      </c>
      <c r="N200" s="4" t="s">
        <v>33</v>
      </c>
      <c r="O200" s="8">
        <v>1072857.0</v>
      </c>
      <c r="P200" s="8">
        <v>188.0</v>
      </c>
      <c r="Q200" s="9">
        <v>93.9182</v>
      </c>
      <c r="R200" s="4" t="s">
        <v>1817</v>
      </c>
      <c r="S200" s="4" t="s">
        <v>50</v>
      </c>
      <c r="T200" s="4" t="s">
        <v>2253</v>
      </c>
      <c r="U200" s="25"/>
      <c r="V200" s="10" t="s">
        <v>2254</v>
      </c>
      <c r="W200" s="10" t="s">
        <v>2255</v>
      </c>
      <c r="X200" s="10" t="s">
        <v>2256</v>
      </c>
      <c r="Y200" s="10" t="s">
        <v>2257</v>
      </c>
      <c r="Z200" s="11" t="s">
        <v>40</v>
      </c>
      <c r="AA200" s="2"/>
      <c r="AB200" s="2"/>
      <c r="AC200" s="2"/>
      <c r="AD200" s="2"/>
      <c r="AE200" s="2"/>
      <c r="AF200" s="2"/>
    </row>
    <row r="201" ht="22.5" customHeight="1">
      <c r="A201" s="12">
        <v>46025.99726804398</v>
      </c>
      <c r="B201" s="13" t="s">
        <v>2258</v>
      </c>
      <c r="C201" s="13" t="s">
        <v>2258</v>
      </c>
      <c r="D201" s="13" t="s">
        <v>2259</v>
      </c>
      <c r="E201" s="24" t="str">
        <f t="shared" si="1"/>
        <v>+O3155422756</v>
      </c>
      <c r="F201" s="13" t="s">
        <v>2260</v>
      </c>
      <c r="G201" s="13" t="s">
        <v>2261</v>
      </c>
      <c r="H201" s="17">
        <v>3.230310126026E12</v>
      </c>
      <c r="I201" s="17">
        <v>3.230310126026E12</v>
      </c>
      <c r="J201" s="22" t="str">
        <f>IFERROR(__xludf.DUMMYFUNCTION("TEXT(REGEXREPLACE(I201, ""[^0-9]"", """"), ""00000-0000000-0"")"),"#VALUE!")</f>
        <v>#VALUE!</v>
      </c>
      <c r="K201" s="16">
        <v>38910.0</v>
      </c>
      <c r="L201" s="13" t="s">
        <v>31</v>
      </c>
      <c r="M201" s="13" t="s">
        <v>2262</v>
      </c>
      <c r="N201" s="13" t="s">
        <v>33</v>
      </c>
      <c r="O201" s="17">
        <v>9010943.0</v>
      </c>
      <c r="P201" s="17">
        <v>264.0</v>
      </c>
      <c r="Q201" s="18">
        <v>93.8318</v>
      </c>
      <c r="R201" s="13" t="s">
        <v>2261</v>
      </c>
      <c r="S201" s="13" t="s">
        <v>50</v>
      </c>
      <c r="T201" s="14" t="s">
        <v>2263</v>
      </c>
      <c r="U201" s="13" t="s">
        <v>2264</v>
      </c>
      <c r="V201" s="19" t="s">
        <v>2265</v>
      </c>
      <c r="W201" s="19" t="s">
        <v>2266</v>
      </c>
      <c r="X201" s="19" t="s">
        <v>2267</v>
      </c>
      <c r="Y201" s="19" t="s">
        <v>2268</v>
      </c>
      <c r="Z201" s="20" t="s">
        <v>40</v>
      </c>
      <c r="AA201" s="2"/>
      <c r="AB201" s="2"/>
      <c r="AC201" s="2"/>
      <c r="AD201" s="2"/>
      <c r="AE201" s="2"/>
      <c r="AF201" s="2"/>
    </row>
    <row r="202" ht="22.5" customHeight="1">
      <c r="A202" s="3">
        <v>46026.301839803244</v>
      </c>
      <c r="B202" s="4" t="s">
        <v>2269</v>
      </c>
      <c r="C202" s="4" t="s">
        <v>2269</v>
      </c>
      <c r="D202" s="5" t="s">
        <v>2270</v>
      </c>
      <c r="E202" s="4" t="str">
        <f t="shared" si="1"/>
        <v>+923191732759</v>
      </c>
      <c r="F202" s="4" t="s">
        <v>2271</v>
      </c>
      <c r="G202" s="4" t="s">
        <v>2272</v>
      </c>
      <c r="H202" s="8">
        <v>3.31007136665E12</v>
      </c>
      <c r="I202" s="8">
        <v>3.31007136665E12</v>
      </c>
      <c r="J202" s="21" t="str">
        <f>IFERROR(__xludf.DUMMYFUNCTION("TEXT(REGEXREPLACE(I202, ""[^0-9]"", """"), ""00000-0000000-0"")"),"#VALUE!")</f>
        <v>#VALUE!</v>
      </c>
      <c r="K202" s="7">
        <v>38699.0</v>
      </c>
      <c r="L202" s="4" t="s">
        <v>31</v>
      </c>
      <c r="M202" s="4" t="s">
        <v>2273</v>
      </c>
      <c r="N202" s="4" t="s">
        <v>2274</v>
      </c>
      <c r="O202" s="8">
        <v>2011888.0</v>
      </c>
      <c r="P202" s="8">
        <v>137.0</v>
      </c>
      <c r="Q202" s="9">
        <v>94.0045</v>
      </c>
      <c r="R202" s="4" t="s">
        <v>2272</v>
      </c>
      <c r="S202" s="4" t="s">
        <v>34</v>
      </c>
      <c r="T202" s="5" t="s">
        <v>2275</v>
      </c>
      <c r="U202" s="4" t="s">
        <v>2276</v>
      </c>
      <c r="V202" s="10" t="s">
        <v>2277</v>
      </c>
      <c r="W202" s="10" t="s">
        <v>2278</v>
      </c>
      <c r="X202" s="10" t="s">
        <v>2279</v>
      </c>
      <c r="Y202" s="10" t="s">
        <v>2280</v>
      </c>
      <c r="Z202" s="11" t="s">
        <v>40</v>
      </c>
      <c r="AA202" s="2"/>
      <c r="AB202" s="2"/>
      <c r="AC202" s="2"/>
      <c r="AD202" s="2"/>
      <c r="AE202" s="2"/>
      <c r="AF202" s="2"/>
    </row>
    <row r="203" ht="22.5" customHeight="1">
      <c r="A203" s="12">
        <v>46026.374457094906</v>
      </c>
      <c r="B203" s="13" t="s">
        <v>2281</v>
      </c>
      <c r="C203" s="13" t="s">
        <v>2281</v>
      </c>
      <c r="D203" s="14" t="s">
        <v>2282</v>
      </c>
      <c r="E203" s="13" t="str">
        <f t="shared" si="1"/>
        <v>+923294311839</v>
      </c>
      <c r="F203" s="13" t="s">
        <v>2283</v>
      </c>
      <c r="G203" s="13" t="s">
        <v>2284</v>
      </c>
      <c r="H203" s="13" t="s">
        <v>2285</v>
      </c>
      <c r="I203" s="13" t="s">
        <v>2285</v>
      </c>
      <c r="J203" s="15" t="str">
        <f>IFERROR(__xludf.DUMMYFUNCTION("TEXT(REGEXREPLACE(I203, ""[^0-9]"", """"), ""00000-0000000-0"")"),"36201-0854375-6")</f>
        <v>36201-0854375-6</v>
      </c>
      <c r="K203" s="16">
        <v>38805.0</v>
      </c>
      <c r="L203" s="13" t="s">
        <v>31</v>
      </c>
      <c r="M203" s="13" t="s">
        <v>2286</v>
      </c>
      <c r="N203" s="13" t="s">
        <v>33</v>
      </c>
      <c r="O203" s="17">
        <v>9012906.0</v>
      </c>
      <c r="P203" s="17">
        <v>93.0</v>
      </c>
      <c r="Q203" s="18">
        <v>94.1318</v>
      </c>
      <c r="R203" s="13" t="s">
        <v>2287</v>
      </c>
      <c r="S203" s="13" t="s">
        <v>1185</v>
      </c>
      <c r="T203" s="14" t="s">
        <v>2288</v>
      </c>
      <c r="U203" s="13" t="s">
        <v>2289</v>
      </c>
      <c r="V203" s="19" t="s">
        <v>2290</v>
      </c>
      <c r="W203" s="19" t="s">
        <v>2291</v>
      </c>
      <c r="X203" s="19" t="s">
        <v>2292</v>
      </c>
      <c r="Y203" s="19" t="s">
        <v>2293</v>
      </c>
      <c r="Z203" s="20" t="s">
        <v>40</v>
      </c>
      <c r="AA203" s="2"/>
      <c r="AB203" s="2"/>
      <c r="AC203" s="2"/>
      <c r="AD203" s="2"/>
      <c r="AE203" s="2"/>
      <c r="AF203" s="2"/>
    </row>
    <row r="204" ht="22.5" customHeight="1">
      <c r="A204" s="3">
        <v>46026.380936863425</v>
      </c>
      <c r="B204" s="4" t="s">
        <v>2294</v>
      </c>
      <c r="C204" s="4" t="s">
        <v>2294</v>
      </c>
      <c r="D204" s="5" t="s">
        <v>2295</v>
      </c>
      <c r="E204" s="4" t="str">
        <f t="shared" si="1"/>
        <v>+923236051496</v>
      </c>
      <c r="F204" s="4" t="s">
        <v>2296</v>
      </c>
      <c r="G204" s="4" t="s">
        <v>2297</v>
      </c>
      <c r="H204" s="4" t="s">
        <v>2298</v>
      </c>
      <c r="I204" s="4" t="s">
        <v>2298</v>
      </c>
      <c r="J204" s="6" t="str">
        <f>IFERROR(__xludf.DUMMYFUNCTION("TEXT(REGEXREPLACE(I204, ""[^0-9]"", """"), ""00000-0000000-0"")"),"33100-7749729-7")</f>
        <v>33100-7749729-7</v>
      </c>
      <c r="K204" s="7">
        <v>39282.0</v>
      </c>
      <c r="L204" s="4" t="s">
        <v>46</v>
      </c>
      <c r="M204" s="4" t="s">
        <v>2299</v>
      </c>
      <c r="N204" s="4" t="s">
        <v>33</v>
      </c>
      <c r="O204" s="8">
        <v>2070845.0</v>
      </c>
      <c r="P204" s="8">
        <v>62.0</v>
      </c>
      <c r="Q204" s="9">
        <v>94.2955</v>
      </c>
      <c r="R204" s="4" t="s">
        <v>2297</v>
      </c>
      <c r="S204" s="4" t="s">
        <v>34</v>
      </c>
      <c r="T204" s="5" t="s">
        <v>2300</v>
      </c>
      <c r="U204" s="4" t="s">
        <v>2294</v>
      </c>
      <c r="V204" s="10" t="s">
        <v>2301</v>
      </c>
      <c r="W204" s="10" t="s">
        <v>2302</v>
      </c>
      <c r="X204" s="10" t="s">
        <v>2303</v>
      </c>
      <c r="Y204" s="10" t="s">
        <v>2304</v>
      </c>
      <c r="Z204" s="11" t="s">
        <v>40</v>
      </c>
      <c r="AA204" s="2"/>
      <c r="AB204" s="2"/>
      <c r="AC204" s="2"/>
      <c r="AD204" s="2"/>
      <c r="AE204" s="2"/>
      <c r="AF204" s="2"/>
    </row>
    <row r="205" ht="22.5" customHeight="1">
      <c r="A205" s="12">
        <v>46026.56794828703</v>
      </c>
      <c r="B205" s="13" t="s">
        <v>2305</v>
      </c>
      <c r="C205" s="13" t="s">
        <v>2305</v>
      </c>
      <c r="D205" s="14" t="s">
        <v>2306</v>
      </c>
      <c r="E205" s="13" t="str">
        <f t="shared" si="1"/>
        <v>+923353443440</v>
      </c>
      <c r="F205" s="13" t="s">
        <v>2307</v>
      </c>
      <c r="G205" s="13" t="s">
        <v>2308</v>
      </c>
      <c r="H205" s="13" t="s">
        <v>2309</v>
      </c>
      <c r="I205" s="13" t="s">
        <v>2309</v>
      </c>
      <c r="J205" s="15" t="str">
        <f>IFERROR(__xludf.DUMMYFUNCTION("TEXT(REGEXREPLACE(I205, ""[^0-9]"", """"), ""00000-0000000-0"")"),"21201-9833254-6")</f>
        <v>21201-9833254-6</v>
      </c>
      <c r="K205" s="16">
        <v>38940.0</v>
      </c>
      <c r="L205" s="13" t="s">
        <v>31</v>
      </c>
      <c r="M205" s="13" t="s">
        <v>2310</v>
      </c>
      <c r="N205" s="13" t="s">
        <v>33</v>
      </c>
      <c r="O205" s="17">
        <v>4710677.0</v>
      </c>
      <c r="P205" s="17">
        <v>287.0</v>
      </c>
      <c r="Q205" s="18">
        <v>88.6636</v>
      </c>
      <c r="R205" s="13" t="s">
        <v>2311</v>
      </c>
      <c r="S205" s="13" t="s">
        <v>50</v>
      </c>
      <c r="T205" s="14" t="s">
        <v>2312</v>
      </c>
      <c r="U205" s="13" t="s">
        <v>2313</v>
      </c>
      <c r="V205" s="19" t="s">
        <v>2314</v>
      </c>
      <c r="W205" s="19" t="s">
        <v>2315</v>
      </c>
      <c r="X205" s="19" t="s">
        <v>2316</v>
      </c>
      <c r="Y205" s="19" t="s">
        <v>2317</v>
      </c>
      <c r="Z205" s="20" t="s">
        <v>40</v>
      </c>
      <c r="AA205" s="2"/>
      <c r="AB205" s="2"/>
      <c r="AC205" s="2"/>
      <c r="AD205" s="2"/>
      <c r="AE205" s="2"/>
      <c r="AF205" s="2"/>
    </row>
    <row r="206" ht="22.5" customHeight="1">
      <c r="A206" s="3">
        <v>46026.58773150463</v>
      </c>
      <c r="B206" s="4" t="s">
        <v>2318</v>
      </c>
      <c r="C206" s="4" t="s">
        <v>2318</v>
      </c>
      <c r="D206" s="5" t="s">
        <v>2319</v>
      </c>
      <c r="E206" s="4" t="str">
        <f t="shared" si="1"/>
        <v>+923339941172</v>
      </c>
      <c r="F206" s="4" t="s">
        <v>2320</v>
      </c>
      <c r="G206" s="4" t="s">
        <v>2321</v>
      </c>
      <c r="H206" s="8">
        <v>3.310555230314E12</v>
      </c>
      <c r="I206" s="8">
        <v>3.310555230314E12</v>
      </c>
      <c r="J206" s="21" t="str">
        <f>IFERROR(__xludf.DUMMYFUNCTION("TEXT(REGEXREPLACE(I206, ""[^0-9]"", """"), ""00000-0000000-0"")"),"#VALUE!")</f>
        <v>#VALUE!</v>
      </c>
      <c r="K206" s="7">
        <v>38522.0</v>
      </c>
      <c r="L206" s="4" t="s">
        <v>31</v>
      </c>
      <c r="M206" s="4" t="s">
        <v>2322</v>
      </c>
      <c r="N206" s="4" t="s">
        <v>33</v>
      </c>
      <c r="O206" s="8">
        <v>2011552.0</v>
      </c>
      <c r="P206" s="8">
        <v>32.0</v>
      </c>
      <c r="Q206" s="9">
        <v>95.5</v>
      </c>
      <c r="R206" s="4" t="s">
        <v>2321</v>
      </c>
      <c r="S206" s="4" t="s">
        <v>50</v>
      </c>
      <c r="T206" s="5" t="s">
        <v>2323</v>
      </c>
      <c r="U206" s="4" t="s">
        <v>2324</v>
      </c>
      <c r="V206" s="10" t="s">
        <v>2325</v>
      </c>
      <c r="W206" s="10" t="s">
        <v>2326</v>
      </c>
      <c r="X206" s="10" t="s">
        <v>2327</v>
      </c>
      <c r="Y206" s="10" t="s">
        <v>2328</v>
      </c>
      <c r="Z206" s="11" t="s">
        <v>40</v>
      </c>
      <c r="AA206" s="2"/>
      <c r="AB206" s="2"/>
      <c r="AC206" s="2"/>
      <c r="AD206" s="2"/>
      <c r="AE206" s="2"/>
      <c r="AF206" s="2"/>
    </row>
    <row r="207" ht="22.5" customHeight="1">
      <c r="A207" s="12">
        <v>46026.65116230324</v>
      </c>
      <c r="B207" s="13" t="s">
        <v>2329</v>
      </c>
      <c r="C207" s="13" t="s">
        <v>2329</v>
      </c>
      <c r="D207" s="14" t="s">
        <v>2330</v>
      </c>
      <c r="E207" s="13" t="str">
        <f t="shared" si="1"/>
        <v>+923143030389</v>
      </c>
      <c r="F207" s="13" t="s">
        <v>2331</v>
      </c>
      <c r="G207" s="13" t="s">
        <v>2332</v>
      </c>
      <c r="H207" s="17">
        <v>3.310280719632E12</v>
      </c>
      <c r="I207" s="17">
        <v>3.310280719632E12</v>
      </c>
      <c r="J207" s="22" t="str">
        <f>IFERROR(__xludf.DUMMYFUNCTION("TEXT(REGEXREPLACE(I207, ""[^0-9]"", """"), ""00000-0000000-0"")"),"#VALUE!")</f>
        <v>#VALUE!</v>
      </c>
      <c r="K207" s="16">
        <v>38521.0</v>
      </c>
      <c r="L207" s="13" t="s">
        <v>31</v>
      </c>
      <c r="M207" s="13" t="s">
        <v>2333</v>
      </c>
      <c r="N207" s="13" t="s">
        <v>48</v>
      </c>
      <c r="O207" s="17">
        <v>3007786.0</v>
      </c>
      <c r="P207" s="17">
        <v>97.0</v>
      </c>
      <c r="Q207" s="18">
        <v>0.97</v>
      </c>
      <c r="R207" s="13" t="s">
        <v>2332</v>
      </c>
      <c r="S207" s="13" t="s">
        <v>50</v>
      </c>
      <c r="T207" s="14" t="s">
        <v>2334</v>
      </c>
      <c r="U207" s="13" t="s">
        <v>2335</v>
      </c>
      <c r="V207" s="19" t="s">
        <v>2336</v>
      </c>
      <c r="W207" s="19" t="s">
        <v>2337</v>
      </c>
      <c r="X207" s="19" t="s">
        <v>2338</v>
      </c>
      <c r="Y207" s="19" t="s">
        <v>2339</v>
      </c>
      <c r="Z207" s="20" t="s">
        <v>40</v>
      </c>
      <c r="AA207" s="2"/>
      <c r="AB207" s="2"/>
      <c r="AC207" s="2"/>
      <c r="AD207" s="2"/>
      <c r="AE207" s="2"/>
      <c r="AF207" s="2"/>
    </row>
    <row r="208" ht="22.5" customHeight="1">
      <c r="A208" s="3">
        <v>46026.66454972222</v>
      </c>
      <c r="B208" s="4" t="s">
        <v>2340</v>
      </c>
      <c r="C208" s="4" t="s">
        <v>2340</v>
      </c>
      <c r="D208" s="4" t="s">
        <v>2341</v>
      </c>
      <c r="E208" s="26" t="str">
        <f t="shared" si="1"/>
        <v>+92310-4354501</v>
      </c>
      <c r="F208" s="4" t="s">
        <v>2342</v>
      </c>
      <c r="G208" s="4" t="s">
        <v>2343</v>
      </c>
      <c r="H208" s="4" t="s">
        <v>2344</v>
      </c>
      <c r="I208" s="4" t="s">
        <v>2344</v>
      </c>
      <c r="J208" s="6" t="str">
        <f>IFERROR(__xludf.DUMMYFUNCTION("TEXT(REGEXREPLACE(I208, ""[^0-9]"", """"), ""00000-0000000-0"")"),"33100-1292124-8")</f>
        <v>33100-1292124-8</v>
      </c>
      <c r="K208" s="7">
        <v>45707.0</v>
      </c>
      <c r="L208" s="4" t="s">
        <v>31</v>
      </c>
      <c r="M208" s="4" t="s">
        <v>2345</v>
      </c>
      <c r="N208" s="4" t="s">
        <v>33</v>
      </c>
      <c r="O208" s="8">
        <v>2011390.0</v>
      </c>
      <c r="P208" s="8">
        <v>72.0</v>
      </c>
      <c r="Q208" s="9">
        <v>94.2409</v>
      </c>
      <c r="R208" s="4" t="s">
        <v>2346</v>
      </c>
      <c r="S208" s="4" t="s">
        <v>95</v>
      </c>
      <c r="T208" s="5" t="s">
        <v>2347</v>
      </c>
      <c r="U208" s="4" t="s">
        <v>2348</v>
      </c>
      <c r="V208" s="10" t="s">
        <v>2349</v>
      </c>
      <c r="W208" s="10" t="s">
        <v>2350</v>
      </c>
      <c r="X208" s="10" t="s">
        <v>2351</v>
      </c>
      <c r="Y208" s="25"/>
      <c r="Z208" s="11" t="s">
        <v>40</v>
      </c>
      <c r="AA208" s="2"/>
      <c r="AB208" s="2"/>
      <c r="AC208" s="2"/>
      <c r="AD208" s="2"/>
      <c r="AE208" s="2"/>
      <c r="AF208" s="2"/>
    </row>
    <row r="209" ht="22.5" customHeight="1">
      <c r="A209" s="12">
        <v>46026.69980899306</v>
      </c>
      <c r="B209" s="13" t="s">
        <v>2352</v>
      </c>
      <c r="C209" s="13" t="s">
        <v>2352</v>
      </c>
      <c r="D209" s="14" t="s">
        <v>2353</v>
      </c>
      <c r="E209" s="13" t="str">
        <f t="shared" si="1"/>
        <v>+923214727933</v>
      </c>
      <c r="F209" s="13" t="s">
        <v>2354</v>
      </c>
      <c r="G209" s="13" t="s">
        <v>2355</v>
      </c>
      <c r="H209" s="17">
        <v>3.310214393308E12</v>
      </c>
      <c r="I209" s="17">
        <v>3.310214393308E12</v>
      </c>
      <c r="J209" s="22" t="str">
        <f>IFERROR(__xludf.DUMMYFUNCTION("TEXT(REGEXREPLACE(I209, ""[^0-9]"", """"), ""00000-0000000-0"")"),"#VALUE!")</f>
        <v>#VALUE!</v>
      </c>
      <c r="K209" s="16">
        <v>39060.0</v>
      </c>
      <c r="L209" s="13" t="s">
        <v>31</v>
      </c>
      <c r="M209" s="13" t="s">
        <v>2356</v>
      </c>
      <c r="N209" s="13" t="s">
        <v>33</v>
      </c>
      <c r="O209" s="17">
        <v>2012222.0</v>
      </c>
      <c r="P209" s="17">
        <v>29.0</v>
      </c>
      <c r="Q209" s="18">
        <v>94.5</v>
      </c>
      <c r="R209" s="13" t="s">
        <v>2357</v>
      </c>
      <c r="S209" s="13" t="s">
        <v>95</v>
      </c>
      <c r="T209" s="14" t="s">
        <v>2358</v>
      </c>
      <c r="U209" s="13" t="s">
        <v>2359</v>
      </c>
      <c r="V209" s="19" t="s">
        <v>2360</v>
      </c>
      <c r="W209" s="19" t="s">
        <v>2361</v>
      </c>
      <c r="X209" s="19" t="s">
        <v>2362</v>
      </c>
      <c r="Y209" s="19" t="s">
        <v>2363</v>
      </c>
      <c r="Z209" s="20" t="s">
        <v>40</v>
      </c>
      <c r="AA209" s="2"/>
      <c r="AB209" s="2"/>
      <c r="AC209" s="2"/>
      <c r="AD209" s="2"/>
      <c r="AE209" s="2"/>
      <c r="AF209" s="2"/>
    </row>
    <row r="210" ht="22.5" customHeight="1">
      <c r="A210" s="3">
        <v>46026.79994777778</v>
      </c>
      <c r="B210" s="4" t="s">
        <v>2364</v>
      </c>
      <c r="C210" s="4" t="s">
        <v>2365</v>
      </c>
      <c r="D210" s="4" t="s">
        <v>2366</v>
      </c>
      <c r="E210" s="26" t="str">
        <f t="shared" si="1"/>
        <v>++923177088677</v>
      </c>
      <c r="F210" s="4" t="s">
        <v>2367</v>
      </c>
      <c r="G210" s="4" t="s">
        <v>2368</v>
      </c>
      <c r="H210" s="4" t="s">
        <v>2369</v>
      </c>
      <c r="I210" s="4" t="s">
        <v>2369</v>
      </c>
      <c r="J210" s="6" t="str">
        <f>IFERROR(__xludf.DUMMYFUNCTION("TEXT(REGEXREPLACE(I210, ""[^0-9]"", """"), ""00000-0000000-0"")"),"33100-5785404-6")</f>
        <v>33100-5785404-6</v>
      </c>
      <c r="K210" s="7">
        <v>38841.0</v>
      </c>
      <c r="L210" s="4" t="s">
        <v>31</v>
      </c>
      <c r="M210" s="4" t="s">
        <v>2370</v>
      </c>
      <c r="N210" s="4" t="s">
        <v>93</v>
      </c>
      <c r="O210" s="8">
        <v>2012938.0</v>
      </c>
      <c r="P210" s="8">
        <v>140.0</v>
      </c>
      <c r="Q210" s="9">
        <v>93.8889</v>
      </c>
      <c r="R210" s="4" t="s">
        <v>2371</v>
      </c>
      <c r="S210" s="4" t="s">
        <v>50</v>
      </c>
      <c r="T210" s="5" t="s">
        <v>2372</v>
      </c>
      <c r="U210" s="4" t="s">
        <v>2373</v>
      </c>
      <c r="V210" s="10" t="s">
        <v>2374</v>
      </c>
      <c r="W210" s="10" t="s">
        <v>2375</v>
      </c>
      <c r="X210" s="10" t="s">
        <v>2376</v>
      </c>
      <c r="Y210" s="10" t="s">
        <v>2377</v>
      </c>
      <c r="Z210" s="11" t="s">
        <v>40</v>
      </c>
      <c r="AA210" s="2"/>
      <c r="AB210" s="2"/>
      <c r="AC210" s="2"/>
      <c r="AD210" s="2"/>
      <c r="AE210" s="2"/>
      <c r="AF210" s="2"/>
    </row>
    <row r="211" ht="22.5" customHeight="1">
      <c r="A211" s="12">
        <v>46026.805736215276</v>
      </c>
      <c r="B211" s="13" t="s">
        <v>2378</v>
      </c>
      <c r="C211" s="13" t="s">
        <v>2378</v>
      </c>
      <c r="D211" s="14" t="s">
        <v>2379</v>
      </c>
      <c r="E211" s="13" t="str">
        <f t="shared" si="1"/>
        <v>+923107721444</v>
      </c>
      <c r="F211" s="13" t="s">
        <v>2380</v>
      </c>
      <c r="G211" s="13" t="s">
        <v>2381</v>
      </c>
      <c r="H211" s="17">
        <v>3.310261466477E12</v>
      </c>
      <c r="I211" s="17">
        <v>3.310261466477E12</v>
      </c>
      <c r="J211" s="22" t="str">
        <f>IFERROR(__xludf.DUMMYFUNCTION("TEXT(REGEXREPLACE(I211, ""[^0-9]"", """"), ""00000-0000000-0"")"),"#VALUE!")</f>
        <v>#VALUE!</v>
      </c>
      <c r="K211" s="16">
        <v>39374.0</v>
      </c>
      <c r="L211" s="13" t="s">
        <v>46</v>
      </c>
      <c r="M211" s="13" t="s">
        <v>2382</v>
      </c>
      <c r="N211" s="13" t="s">
        <v>93</v>
      </c>
      <c r="O211" s="17">
        <v>2090318.0</v>
      </c>
      <c r="P211" s="17">
        <v>43.0</v>
      </c>
      <c r="Q211" s="18">
        <v>94.37</v>
      </c>
      <c r="R211" s="13" t="s">
        <v>2383</v>
      </c>
      <c r="S211" s="13" t="s">
        <v>34</v>
      </c>
      <c r="T211" s="14" t="s">
        <v>2384</v>
      </c>
      <c r="U211" s="13" t="s">
        <v>2385</v>
      </c>
      <c r="V211" s="19" t="s">
        <v>2386</v>
      </c>
      <c r="W211" s="19" t="s">
        <v>2387</v>
      </c>
      <c r="X211" s="19" t="s">
        <v>2388</v>
      </c>
      <c r="Y211" s="19" t="s">
        <v>2389</v>
      </c>
      <c r="Z211" s="20" t="s">
        <v>40</v>
      </c>
      <c r="AA211" s="2"/>
      <c r="AB211" s="2"/>
      <c r="AC211" s="2"/>
      <c r="AD211" s="2"/>
      <c r="AE211" s="2"/>
      <c r="AF211" s="2"/>
    </row>
    <row r="212" ht="22.5" customHeight="1">
      <c r="A212" s="3">
        <v>46026.825957071764</v>
      </c>
      <c r="B212" s="4" t="s">
        <v>846</v>
      </c>
      <c r="C212" s="4" t="s">
        <v>2390</v>
      </c>
      <c r="D212" s="5" t="s">
        <v>848</v>
      </c>
      <c r="E212" s="4" t="str">
        <f t="shared" si="1"/>
        <v>+923096362527</v>
      </c>
      <c r="F212" s="4" t="s">
        <v>849</v>
      </c>
      <c r="G212" s="4" t="s">
        <v>853</v>
      </c>
      <c r="H212" s="8">
        <v>3.310564562096E12</v>
      </c>
      <c r="I212" s="8">
        <v>3.310564562096E12</v>
      </c>
      <c r="J212" s="21" t="str">
        <f>IFERROR(__xludf.DUMMYFUNCTION("TEXT(REGEXREPLACE(I212, ""[^0-9]"", """"), ""00000-0000000-0"")"),"#VALUE!")</f>
        <v>#VALUE!</v>
      </c>
      <c r="K212" s="7">
        <v>38370.0</v>
      </c>
      <c r="L212" s="4" t="s">
        <v>31</v>
      </c>
      <c r="M212" s="4" t="s">
        <v>2391</v>
      </c>
      <c r="N212" s="4" t="s">
        <v>383</v>
      </c>
      <c r="O212" s="8">
        <v>2012259.0</v>
      </c>
      <c r="P212" s="8">
        <v>247.0</v>
      </c>
      <c r="Q212" s="9">
        <v>93.8455</v>
      </c>
      <c r="R212" s="4" t="s">
        <v>853</v>
      </c>
      <c r="S212" s="4" t="s">
        <v>34</v>
      </c>
      <c r="T212" s="5" t="s">
        <v>854</v>
      </c>
      <c r="U212" s="4" t="s">
        <v>847</v>
      </c>
      <c r="V212" s="10" t="s">
        <v>2392</v>
      </c>
      <c r="W212" s="10" t="s">
        <v>2393</v>
      </c>
      <c r="X212" s="10" t="s">
        <v>2394</v>
      </c>
      <c r="Y212" s="10" t="s">
        <v>2395</v>
      </c>
      <c r="Z212" s="11" t="s">
        <v>40</v>
      </c>
      <c r="AA212" s="2"/>
      <c r="AB212" s="2"/>
      <c r="AC212" s="2"/>
      <c r="AD212" s="2"/>
      <c r="AE212" s="2"/>
      <c r="AF212" s="2"/>
    </row>
    <row r="213" ht="22.5" customHeight="1">
      <c r="A213" s="12">
        <v>46026.82648390046</v>
      </c>
      <c r="B213" s="13" t="s">
        <v>1666</v>
      </c>
      <c r="C213" s="13" t="s">
        <v>2396</v>
      </c>
      <c r="D213" s="13" t="s">
        <v>1667</v>
      </c>
      <c r="E213" s="13" t="str">
        <f t="shared" si="1"/>
        <v>+923007287664</v>
      </c>
      <c r="F213" s="13" t="s">
        <v>1668</v>
      </c>
      <c r="G213" s="13" t="s">
        <v>1669</v>
      </c>
      <c r="H213" s="13" t="s">
        <v>2397</v>
      </c>
      <c r="I213" s="13" t="s">
        <v>2397</v>
      </c>
      <c r="J213" s="15" t="str">
        <f>IFERROR(__xludf.DUMMYFUNCTION("TEXT(REGEXREPLACE(I213, ""[^0-9]"", """"), ""00000-0000000-0"")"),"33103-4642438-6")</f>
        <v>33103-4642438-6</v>
      </c>
      <c r="K213" s="16">
        <v>39098.0</v>
      </c>
      <c r="L213" s="13" t="s">
        <v>31</v>
      </c>
      <c r="M213" s="13" t="s">
        <v>2398</v>
      </c>
      <c r="N213" s="13" t="s">
        <v>33</v>
      </c>
      <c r="O213" s="17">
        <v>2011793.0</v>
      </c>
      <c r="P213" s="17">
        <v>23.0</v>
      </c>
      <c r="Q213" s="18">
        <v>94.6586</v>
      </c>
      <c r="R213" s="13" t="s">
        <v>2399</v>
      </c>
      <c r="S213" s="13" t="s">
        <v>34</v>
      </c>
      <c r="T213" s="13" t="s">
        <v>2400</v>
      </c>
      <c r="U213" s="13" t="s">
        <v>1673</v>
      </c>
      <c r="V213" s="19" t="s">
        <v>2401</v>
      </c>
      <c r="W213" s="19" t="s">
        <v>2402</v>
      </c>
      <c r="X213" s="19" t="s">
        <v>2403</v>
      </c>
      <c r="Y213" s="19" t="s">
        <v>2404</v>
      </c>
      <c r="Z213" s="20" t="s">
        <v>40</v>
      </c>
      <c r="AA213" s="2"/>
      <c r="AB213" s="2"/>
      <c r="AC213" s="2"/>
      <c r="AD213" s="2"/>
      <c r="AE213" s="2"/>
      <c r="AF213" s="2"/>
    </row>
    <row r="214" ht="22.5" customHeight="1">
      <c r="A214" s="3">
        <v>46026.84193693287</v>
      </c>
      <c r="B214" s="4" t="s">
        <v>753</v>
      </c>
      <c r="C214" s="4" t="s">
        <v>753</v>
      </c>
      <c r="D214" s="5" t="s">
        <v>754</v>
      </c>
      <c r="E214" s="4" t="str">
        <f t="shared" si="1"/>
        <v>+923238682632</v>
      </c>
      <c r="F214" s="4" t="s">
        <v>755</v>
      </c>
      <c r="G214" s="4" t="s">
        <v>756</v>
      </c>
      <c r="H214" s="8">
        <v>3.840174141877E12</v>
      </c>
      <c r="I214" s="8">
        <v>3.840174141877E12</v>
      </c>
      <c r="J214" s="21" t="str">
        <f>IFERROR(__xludf.DUMMYFUNCTION("TEXT(REGEXREPLACE(I214, ""[^0-9]"", """"), ""00000-0000000-0"")"),"#VALUE!")</f>
        <v>#VALUE!</v>
      </c>
      <c r="K214" s="7">
        <v>39446.0</v>
      </c>
      <c r="L214" s="4" t="s">
        <v>46</v>
      </c>
      <c r="M214" s="4" t="s">
        <v>2405</v>
      </c>
      <c r="N214" s="4" t="s">
        <v>48</v>
      </c>
      <c r="O214" s="8">
        <v>3087377.0</v>
      </c>
      <c r="P214" s="8">
        <v>134.0</v>
      </c>
      <c r="Q214" s="9">
        <v>94.0081</v>
      </c>
      <c r="R214" s="4" t="s">
        <v>756</v>
      </c>
      <c r="S214" s="4" t="s">
        <v>34</v>
      </c>
      <c r="T214" s="5" t="s">
        <v>758</v>
      </c>
      <c r="U214" s="4" t="s">
        <v>759</v>
      </c>
      <c r="V214" s="10" t="s">
        <v>2406</v>
      </c>
      <c r="W214" s="10" t="s">
        <v>2407</v>
      </c>
      <c r="X214" s="10" t="s">
        <v>2408</v>
      </c>
      <c r="Y214" s="10" t="s">
        <v>2409</v>
      </c>
      <c r="Z214" s="11" t="s">
        <v>40</v>
      </c>
      <c r="AA214" s="2"/>
      <c r="AB214" s="2"/>
      <c r="AC214" s="2"/>
      <c r="AD214" s="2"/>
      <c r="AE214" s="2"/>
      <c r="AF214" s="2"/>
    </row>
    <row r="215" ht="22.5" customHeight="1">
      <c r="A215" s="12">
        <v>46026.85517758102</v>
      </c>
      <c r="B215" s="13" t="s">
        <v>2410</v>
      </c>
      <c r="C215" s="13" t="s">
        <v>2410</v>
      </c>
      <c r="D215" s="14" t="s">
        <v>2411</v>
      </c>
      <c r="E215" s="13" t="str">
        <f t="shared" si="1"/>
        <v>+923321411405</v>
      </c>
      <c r="F215" s="13" t="s">
        <v>2412</v>
      </c>
      <c r="G215" s="13" t="s">
        <v>2413</v>
      </c>
      <c r="H215" s="13" t="s">
        <v>2414</v>
      </c>
      <c r="I215" s="13" t="s">
        <v>2414</v>
      </c>
      <c r="J215" s="15" t="str">
        <f>IFERROR(__xludf.DUMMYFUNCTION("TEXT(REGEXREPLACE(I215, ""[^0-9]"", """"), ""00000-0000000-0"")"),"35202-8594168-6")</f>
        <v>35202-8594168-6</v>
      </c>
      <c r="K215" s="16">
        <v>38583.0</v>
      </c>
      <c r="L215" s="13" t="s">
        <v>31</v>
      </c>
      <c r="M215" s="13" t="s">
        <v>2415</v>
      </c>
      <c r="N215" s="13" t="s">
        <v>33</v>
      </c>
      <c r="O215" s="17">
        <v>1014005.0</v>
      </c>
      <c r="P215" s="17">
        <v>266.0</v>
      </c>
      <c r="Q215" s="18">
        <v>93.8303</v>
      </c>
      <c r="R215" s="13" t="s">
        <v>2416</v>
      </c>
      <c r="S215" s="13" t="s">
        <v>34</v>
      </c>
      <c r="T215" s="14" t="s">
        <v>2417</v>
      </c>
      <c r="U215" s="13" t="s">
        <v>2418</v>
      </c>
      <c r="V215" s="19" t="s">
        <v>2419</v>
      </c>
      <c r="W215" s="19" t="s">
        <v>2420</v>
      </c>
      <c r="X215" s="19" t="s">
        <v>2421</v>
      </c>
      <c r="Y215" s="19" t="s">
        <v>2422</v>
      </c>
      <c r="Z215" s="20" t="s">
        <v>40</v>
      </c>
      <c r="AA215" s="2"/>
      <c r="AB215" s="2"/>
      <c r="AC215" s="2"/>
      <c r="AD215" s="2"/>
      <c r="AE215" s="2"/>
      <c r="AF215" s="2"/>
    </row>
    <row r="216" ht="22.5" customHeight="1">
      <c r="A216" s="3">
        <v>46026.863863252314</v>
      </c>
      <c r="B216" s="4" t="s">
        <v>2423</v>
      </c>
      <c r="C216" s="4" t="s">
        <v>2424</v>
      </c>
      <c r="D216" s="5" t="s">
        <v>2425</v>
      </c>
      <c r="E216" s="4" t="str">
        <f t="shared" si="1"/>
        <v>+923002445012</v>
      </c>
      <c r="F216" s="4" t="s">
        <v>2426</v>
      </c>
      <c r="G216" s="4" t="s">
        <v>2427</v>
      </c>
      <c r="H216" s="4" t="s">
        <v>2428</v>
      </c>
      <c r="I216" s="4" t="s">
        <v>2428</v>
      </c>
      <c r="J216" s="6" t="str">
        <f>IFERROR(__xludf.DUMMYFUNCTION("TEXT(REGEXREPLACE(I216, ""[^0-9]"", """"), ""00000-0000000-0"")"),"36501-6907351-9")</f>
        <v>36501-6907351-9</v>
      </c>
      <c r="K216" s="7">
        <v>39554.0</v>
      </c>
      <c r="L216" s="4" t="s">
        <v>46</v>
      </c>
      <c r="M216" s="4" t="s">
        <v>2429</v>
      </c>
      <c r="N216" s="4" t="s">
        <v>33</v>
      </c>
      <c r="O216" s="8">
        <v>2090389.0</v>
      </c>
      <c r="P216" s="8">
        <v>24.0</v>
      </c>
      <c r="Q216" s="9">
        <v>95.0</v>
      </c>
      <c r="R216" s="4" t="s">
        <v>2427</v>
      </c>
      <c r="S216" s="4" t="s">
        <v>34</v>
      </c>
      <c r="T216" s="5" t="s">
        <v>2430</v>
      </c>
      <c r="U216" s="25"/>
      <c r="V216" s="10" t="s">
        <v>2431</v>
      </c>
      <c r="W216" s="10" t="s">
        <v>2432</v>
      </c>
      <c r="X216" s="10" t="s">
        <v>2433</v>
      </c>
      <c r="Y216" s="10" t="s">
        <v>2434</v>
      </c>
      <c r="Z216" s="11" t="s">
        <v>40</v>
      </c>
      <c r="AA216" s="2"/>
      <c r="AB216" s="2"/>
      <c r="AC216" s="2"/>
      <c r="AD216" s="2"/>
      <c r="AE216" s="2"/>
      <c r="AF216" s="2"/>
    </row>
    <row r="217" ht="22.5" customHeight="1">
      <c r="A217" s="12">
        <v>46026.88059579861</v>
      </c>
      <c r="B217" s="13" t="s">
        <v>1220</v>
      </c>
      <c r="C217" s="13" t="s">
        <v>1220</v>
      </c>
      <c r="D217" s="14" t="s">
        <v>1221</v>
      </c>
      <c r="E217" s="13" t="str">
        <f t="shared" si="1"/>
        <v>+923422349156</v>
      </c>
      <c r="F217" s="13" t="s">
        <v>323</v>
      </c>
      <c r="G217" s="13" t="s">
        <v>1222</v>
      </c>
      <c r="H217" s="17">
        <v>3.810197948387E12</v>
      </c>
      <c r="I217" s="17">
        <v>3.810197948387E12</v>
      </c>
      <c r="J217" s="22" t="str">
        <f>IFERROR(__xludf.DUMMYFUNCTION("TEXT(REGEXREPLACE(I217, ""[^0-9]"", """"), ""00000-0000000-0"")"),"#VALUE!")</f>
        <v>#VALUE!</v>
      </c>
      <c r="K217" s="16">
        <v>38413.0</v>
      </c>
      <c r="L217" s="13" t="s">
        <v>46</v>
      </c>
      <c r="M217" s="13" t="s">
        <v>1223</v>
      </c>
      <c r="N217" s="13" t="s">
        <v>383</v>
      </c>
      <c r="O217" s="17">
        <v>9071999.0</v>
      </c>
      <c r="P217" s="17">
        <v>234.0</v>
      </c>
      <c r="Q217" s="18">
        <v>93.8636</v>
      </c>
      <c r="R217" s="13" t="s">
        <v>1224</v>
      </c>
      <c r="S217" s="13" t="s">
        <v>259</v>
      </c>
      <c r="T217" s="14" t="s">
        <v>1225</v>
      </c>
      <c r="U217" s="13" t="s">
        <v>2435</v>
      </c>
      <c r="V217" s="19" t="s">
        <v>2436</v>
      </c>
      <c r="W217" s="19" t="s">
        <v>2437</v>
      </c>
      <c r="X217" s="19" t="s">
        <v>2438</v>
      </c>
      <c r="Y217" s="19" t="s">
        <v>2439</v>
      </c>
      <c r="Z217" s="20" t="s">
        <v>40</v>
      </c>
      <c r="AA217" s="2"/>
      <c r="AB217" s="2"/>
      <c r="AC217" s="2"/>
      <c r="AD217" s="2"/>
      <c r="AE217" s="2"/>
      <c r="AF217" s="2"/>
    </row>
    <row r="218" ht="22.5" customHeight="1">
      <c r="A218" s="3">
        <v>46026.89219766203</v>
      </c>
      <c r="B218" s="4" t="s">
        <v>2440</v>
      </c>
      <c r="C218" s="4" t="s">
        <v>2440</v>
      </c>
      <c r="D218" s="5" t="s">
        <v>2441</v>
      </c>
      <c r="E218" s="4" t="str">
        <f t="shared" si="1"/>
        <v>+923338372029</v>
      </c>
      <c r="F218" s="4" t="s">
        <v>2442</v>
      </c>
      <c r="G218" s="4" t="s">
        <v>2443</v>
      </c>
      <c r="H218" s="8">
        <v>3.34010756933E12</v>
      </c>
      <c r="I218" s="8">
        <v>3.34010756933E12</v>
      </c>
      <c r="J218" s="21" t="str">
        <f>IFERROR(__xludf.DUMMYFUNCTION("TEXT(REGEXREPLACE(I218, ""[^0-9]"", """"), ""00000-0000000-0"")"),"#VALUE!")</f>
        <v>#VALUE!</v>
      </c>
      <c r="K218" s="7">
        <v>38475.0</v>
      </c>
      <c r="L218" s="4" t="s">
        <v>31</v>
      </c>
      <c r="M218" s="4" t="s">
        <v>2444</v>
      </c>
      <c r="N218" s="4" t="s">
        <v>33</v>
      </c>
      <c r="O218" s="8">
        <v>2011398.0</v>
      </c>
      <c r="P218" s="8">
        <v>86.0</v>
      </c>
      <c r="Q218" s="9">
        <v>94.1727</v>
      </c>
      <c r="R218" s="4" t="s">
        <v>2443</v>
      </c>
      <c r="S218" s="4" t="s">
        <v>34</v>
      </c>
      <c r="T218" s="5" t="s">
        <v>2445</v>
      </c>
      <c r="U218" s="4" t="s">
        <v>2446</v>
      </c>
      <c r="V218" s="10" t="s">
        <v>2447</v>
      </c>
      <c r="W218" s="10" t="s">
        <v>2448</v>
      </c>
      <c r="X218" s="10" t="s">
        <v>2449</v>
      </c>
      <c r="Y218" s="10" t="s">
        <v>2450</v>
      </c>
      <c r="Z218" s="11" t="s">
        <v>40</v>
      </c>
      <c r="AA218" s="2"/>
      <c r="AB218" s="2"/>
      <c r="AC218" s="2"/>
      <c r="AD218" s="2"/>
      <c r="AE218" s="2"/>
      <c r="AF218" s="2"/>
    </row>
    <row r="219" ht="22.5" customHeight="1">
      <c r="A219" s="12">
        <v>46026.8927686574</v>
      </c>
      <c r="B219" s="13" t="s">
        <v>1371</v>
      </c>
      <c r="C219" s="13" t="s">
        <v>1371</v>
      </c>
      <c r="D219" s="14" t="s">
        <v>1372</v>
      </c>
      <c r="E219" s="13" t="str">
        <f t="shared" si="1"/>
        <v>+923126366918</v>
      </c>
      <c r="F219" s="13" t="s">
        <v>1373</v>
      </c>
      <c r="G219" s="13" t="s">
        <v>1374</v>
      </c>
      <c r="H219" s="17">
        <v>3.520263494448E12</v>
      </c>
      <c r="I219" s="17">
        <v>3.520263494448E12</v>
      </c>
      <c r="J219" s="22" t="str">
        <f>IFERROR(__xludf.DUMMYFUNCTION("TEXT(REGEXREPLACE(I219, ""[^0-9]"", """"), ""00000-0000000-0"")"),"#VALUE!")</f>
        <v>#VALUE!</v>
      </c>
      <c r="K219" s="16">
        <v>39375.0</v>
      </c>
      <c r="L219" s="13" t="s">
        <v>31</v>
      </c>
      <c r="M219" s="13" t="s">
        <v>1375</v>
      </c>
      <c r="N219" s="13" t="s">
        <v>93</v>
      </c>
      <c r="O219" s="17">
        <v>185178.0</v>
      </c>
      <c r="P219" s="17">
        <v>285.0</v>
      </c>
      <c r="Q219" s="18">
        <v>90.6955</v>
      </c>
      <c r="R219" s="13" t="s">
        <v>1374</v>
      </c>
      <c r="S219" s="13" t="s">
        <v>50</v>
      </c>
      <c r="T219" s="14" t="s">
        <v>1376</v>
      </c>
      <c r="U219" s="13" t="s">
        <v>2451</v>
      </c>
      <c r="V219" s="19" t="s">
        <v>2452</v>
      </c>
      <c r="W219" s="19" t="s">
        <v>2453</v>
      </c>
      <c r="X219" s="19" t="s">
        <v>2454</v>
      </c>
      <c r="Y219" s="19" t="s">
        <v>2455</v>
      </c>
      <c r="Z219" s="20" t="s">
        <v>40</v>
      </c>
      <c r="AA219" s="2"/>
      <c r="AB219" s="2"/>
      <c r="AC219" s="2"/>
      <c r="AD219" s="2"/>
      <c r="AE219" s="2"/>
      <c r="AF219" s="2"/>
    </row>
    <row r="220" ht="22.5" customHeight="1">
      <c r="A220" s="3">
        <v>46026.893345868055</v>
      </c>
      <c r="B220" s="4" t="s">
        <v>2456</v>
      </c>
      <c r="C220" s="4" t="s">
        <v>2456</v>
      </c>
      <c r="D220" s="5" t="s">
        <v>2457</v>
      </c>
      <c r="E220" s="4" t="str">
        <f t="shared" si="1"/>
        <v>+923017274922</v>
      </c>
      <c r="F220" s="4" t="s">
        <v>2458</v>
      </c>
      <c r="G220" s="4" t="s">
        <v>2459</v>
      </c>
      <c r="H220" s="4" t="s">
        <v>2460</v>
      </c>
      <c r="I220" s="4" t="s">
        <v>2460</v>
      </c>
      <c r="J220" s="6" t="str">
        <f>IFERROR(__xludf.DUMMYFUNCTION("TEXT(REGEXREPLACE(I220, ""[^0-9]"", """"), ""00000-0000000-0"")"),"33106-0172097-9")</f>
        <v>33106-0172097-9</v>
      </c>
      <c r="K220" s="7">
        <v>38930.0</v>
      </c>
      <c r="L220" s="4" t="s">
        <v>46</v>
      </c>
      <c r="M220" s="4" t="s">
        <v>2461</v>
      </c>
      <c r="N220" s="4" t="s">
        <v>33</v>
      </c>
      <c r="O220" s="8">
        <v>2090002.0</v>
      </c>
      <c r="P220" s="8">
        <v>267.0</v>
      </c>
      <c r="Q220" s="9">
        <v>93.8303</v>
      </c>
      <c r="R220" s="4" t="s">
        <v>2462</v>
      </c>
      <c r="S220" s="4" t="s">
        <v>50</v>
      </c>
      <c r="T220" s="5" t="s">
        <v>2463</v>
      </c>
      <c r="U220" s="4" t="s">
        <v>2464</v>
      </c>
      <c r="V220" s="10" t="s">
        <v>2465</v>
      </c>
      <c r="W220" s="10" t="s">
        <v>2466</v>
      </c>
      <c r="X220" s="10" t="s">
        <v>2467</v>
      </c>
      <c r="Y220" s="10" t="s">
        <v>2468</v>
      </c>
      <c r="Z220" s="11" t="s">
        <v>40</v>
      </c>
      <c r="AA220" s="2"/>
      <c r="AB220" s="2"/>
      <c r="AC220" s="2"/>
      <c r="AD220" s="2"/>
      <c r="AE220" s="2"/>
      <c r="AF220" s="2"/>
    </row>
    <row r="221" ht="22.5" customHeight="1">
      <c r="A221" s="12">
        <v>46026.898238333335</v>
      </c>
      <c r="B221" s="13" t="s">
        <v>2469</v>
      </c>
      <c r="C221" s="13" t="s">
        <v>2469</v>
      </c>
      <c r="D221" s="14" t="s">
        <v>2470</v>
      </c>
      <c r="E221" s="13" t="str">
        <f t="shared" si="1"/>
        <v>+923114613978</v>
      </c>
      <c r="F221" s="13" t="s">
        <v>2471</v>
      </c>
      <c r="G221" s="13" t="s">
        <v>2472</v>
      </c>
      <c r="H221" s="13" t="s">
        <v>2473</v>
      </c>
      <c r="I221" s="13" t="s">
        <v>2473</v>
      </c>
      <c r="J221" s="15" t="str">
        <f>IFERROR(__xludf.DUMMYFUNCTION("TEXT(REGEXREPLACE(I221, ""[^0-9]"", """"), ""00000-0000000-0"")"),"35102-1910833-3")</f>
        <v>35102-1910833-3</v>
      </c>
      <c r="K221" s="16">
        <v>37868.0</v>
      </c>
      <c r="L221" s="13" t="s">
        <v>46</v>
      </c>
      <c r="M221" s="13" t="s">
        <v>2474</v>
      </c>
      <c r="N221" s="13" t="s">
        <v>33</v>
      </c>
      <c r="O221" s="17">
        <v>1071606.0</v>
      </c>
      <c r="P221" s="17">
        <v>255.0</v>
      </c>
      <c r="Q221" s="18">
        <v>95.0</v>
      </c>
      <c r="R221" s="13" t="s">
        <v>2472</v>
      </c>
      <c r="S221" s="13" t="s">
        <v>50</v>
      </c>
      <c r="T221" s="14" t="s">
        <v>2475</v>
      </c>
      <c r="U221" s="13" t="s">
        <v>2476</v>
      </c>
      <c r="V221" s="19" t="s">
        <v>2477</v>
      </c>
      <c r="W221" s="19" t="s">
        <v>2478</v>
      </c>
      <c r="X221" s="19" t="s">
        <v>2479</v>
      </c>
      <c r="Y221" s="19" t="s">
        <v>2480</v>
      </c>
      <c r="Z221" s="20" t="s">
        <v>40</v>
      </c>
      <c r="AA221" s="2"/>
      <c r="AB221" s="2"/>
      <c r="AC221" s="2"/>
      <c r="AD221" s="2"/>
      <c r="AE221" s="2"/>
      <c r="AF221" s="2"/>
    </row>
    <row r="222" ht="22.5" customHeight="1">
      <c r="A222" s="3">
        <v>46026.898965381944</v>
      </c>
      <c r="B222" s="4" t="s">
        <v>2481</v>
      </c>
      <c r="C222" s="4" t="s">
        <v>2481</v>
      </c>
      <c r="D222" s="5" t="s">
        <v>2482</v>
      </c>
      <c r="E222" s="4" t="str">
        <f t="shared" si="1"/>
        <v>+923045130122</v>
      </c>
      <c r="F222" s="4" t="s">
        <v>2483</v>
      </c>
      <c r="G222" s="4" t="s">
        <v>2086</v>
      </c>
      <c r="H222" s="8">
        <v>3.220310144177E12</v>
      </c>
      <c r="I222" s="8">
        <v>3.220310144177E12</v>
      </c>
      <c r="J222" s="21" t="str">
        <f>IFERROR(__xludf.DUMMYFUNCTION("TEXT(REGEXREPLACE(I222, ""[^0-9]"", """"), ""00000-0000000-0"")"),"#VALUE!")</f>
        <v>#VALUE!</v>
      </c>
      <c r="K222" s="7">
        <v>39498.0</v>
      </c>
      <c r="L222" s="4" t="s">
        <v>46</v>
      </c>
      <c r="M222" s="4" t="s">
        <v>2484</v>
      </c>
      <c r="N222" s="4" t="s">
        <v>33</v>
      </c>
      <c r="O222" s="8">
        <v>9077047.0</v>
      </c>
      <c r="P222" s="8">
        <v>131.0</v>
      </c>
      <c r="Q222" s="9">
        <v>93.3333</v>
      </c>
      <c r="R222" s="4" t="s">
        <v>2086</v>
      </c>
      <c r="S222" s="4" t="s">
        <v>34</v>
      </c>
      <c r="T222" s="5" t="s">
        <v>2485</v>
      </c>
      <c r="U222" s="4" t="s">
        <v>2486</v>
      </c>
      <c r="V222" s="10" t="s">
        <v>2487</v>
      </c>
      <c r="W222" s="10" t="s">
        <v>2488</v>
      </c>
      <c r="X222" s="10" t="s">
        <v>2489</v>
      </c>
      <c r="Y222" s="10" t="s">
        <v>2490</v>
      </c>
      <c r="Z222" s="11" t="s">
        <v>40</v>
      </c>
      <c r="AA222" s="2"/>
      <c r="AB222" s="2"/>
      <c r="AC222" s="2"/>
      <c r="AD222" s="2"/>
      <c r="AE222" s="2"/>
      <c r="AF222" s="2"/>
    </row>
    <row r="223" ht="22.5" customHeight="1">
      <c r="A223" s="12">
        <v>46026.91706581019</v>
      </c>
      <c r="B223" s="13" t="s">
        <v>2491</v>
      </c>
      <c r="C223" s="13" t="s">
        <v>2491</v>
      </c>
      <c r="D223" s="14" t="s">
        <v>2492</v>
      </c>
      <c r="E223" s="13" t="str">
        <f t="shared" si="1"/>
        <v>+923135538564</v>
      </c>
      <c r="F223" s="13" t="s">
        <v>2493</v>
      </c>
      <c r="G223" s="13" t="s">
        <v>1327</v>
      </c>
      <c r="H223" s="13" t="s">
        <v>2494</v>
      </c>
      <c r="I223" s="13" t="s">
        <v>2494</v>
      </c>
      <c r="J223" s="15" t="str">
        <f>IFERROR(__xludf.DUMMYFUNCTION("TEXT(REGEXREPLACE(I223, ""[^0-9]"", """"), ""00000-0000000-0"")"),"37203-8805555-6")</f>
        <v>37203-8805555-6</v>
      </c>
      <c r="K223" s="16">
        <v>38117.0</v>
      </c>
      <c r="L223" s="13" t="s">
        <v>31</v>
      </c>
      <c r="M223" s="13" t="s">
        <v>2495</v>
      </c>
      <c r="N223" s="13" t="s">
        <v>33</v>
      </c>
      <c r="O223" s="17">
        <v>7010932.0</v>
      </c>
      <c r="P223" s="17">
        <v>227.0</v>
      </c>
      <c r="Q223" s="18">
        <v>93.8682</v>
      </c>
      <c r="R223" s="13" t="s">
        <v>1327</v>
      </c>
      <c r="S223" s="13" t="s">
        <v>34</v>
      </c>
      <c r="T223" s="13" t="s">
        <v>2496</v>
      </c>
      <c r="U223" s="13" t="s">
        <v>2497</v>
      </c>
      <c r="V223" s="19" t="s">
        <v>2498</v>
      </c>
      <c r="W223" s="19" t="s">
        <v>2499</v>
      </c>
      <c r="X223" s="19" t="s">
        <v>2500</v>
      </c>
      <c r="Y223" s="19" t="s">
        <v>2501</v>
      </c>
      <c r="Z223" s="20" t="s">
        <v>40</v>
      </c>
      <c r="AA223" s="2"/>
      <c r="AB223" s="2"/>
      <c r="AC223" s="2"/>
      <c r="AD223" s="2"/>
      <c r="AE223" s="2"/>
      <c r="AF223" s="2"/>
    </row>
    <row r="224" ht="22.5" customHeight="1">
      <c r="A224" s="3">
        <v>46026.922715231485</v>
      </c>
      <c r="B224" s="4" t="s">
        <v>2502</v>
      </c>
      <c r="C224" s="4" t="s">
        <v>2502</v>
      </c>
      <c r="D224" s="5" t="s">
        <v>2503</v>
      </c>
      <c r="E224" s="4" t="str">
        <f t="shared" si="1"/>
        <v>+923004520475</v>
      </c>
      <c r="F224" s="4" t="s">
        <v>2504</v>
      </c>
      <c r="G224" s="4" t="s">
        <v>2505</v>
      </c>
      <c r="H224" s="8">
        <v>3.310268171227E12</v>
      </c>
      <c r="I224" s="8">
        <v>3.310268171227E12</v>
      </c>
      <c r="J224" s="21" t="str">
        <f>IFERROR(__xludf.DUMMYFUNCTION("TEXT(REGEXREPLACE(I224, ""[^0-9]"", """"), ""00000-0000000-0"")"),"#VALUE!")</f>
        <v>#VALUE!</v>
      </c>
      <c r="K224" s="7">
        <v>39272.0</v>
      </c>
      <c r="L224" s="4" t="s">
        <v>46</v>
      </c>
      <c r="M224" s="4" t="s">
        <v>2506</v>
      </c>
      <c r="N224" s="4" t="s">
        <v>33</v>
      </c>
      <c r="O224" s="8">
        <v>2090949.0</v>
      </c>
      <c r="P224" s="8">
        <v>3.0</v>
      </c>
      <c r="Q224" s="9">
        <v>95.5737</v>
      </c>
      <c r="R224" s="4" t="s">
        <v>2505</v>
      </c>
      <c r="S224" s="4" t="s">
        <v>34</v>
      </c>
      <c r="T224" s="5" t="s">
        <v>2507</v>
      </c>
      <c r="U224" s="4" t="s">
        <v>2508</v>
      </c>
      <c r="V224" s="10" t="s">
        <v>2509</v>
      </c>
      <c r="W224" s="10" t="s">
        <v>2510</v>
      </c>
      <c r="X224" s="10" t="s">
        <v>2511</v>
      </c>
      <c r="Y224" s="10" t="s">
        <v>2512</v>
      </c>
      <c r="Z224" s="11" t="s">
        <v>40</v>
      </c>
      <c r="AA224" s="2"/>
      <c r="AB224" s="2"/>
      <c r="AC224" s="2"/>
      <c r="AD224" s="2"/>
      <c r="AE224" s="2"/>
      <c r="AF224" s="2"/>
    </row>
    <row r="225" ht="22.5" customHeight="1">
      <c r="A225" s="12">
        <v>46026.92480486111</v>
      </c>
      <c r="B225" s="13" t="s">
        <v>2513</v>
      </c>
      <c r="C225" s="13" t="s">
        <v>2513</v>
      </c>
      <c r="D225" s="14" t="s">
        <v>2514</v>
      </c>
      <c r="E225" s="13" t="str">
        <f t="shared" si="1"/>
        <v>+923290955714</v>
      </c>
      <c r="F225" s="13" t="s">
        <v>2515</v>
      </c>
      <c r="G225" s="13" t="s">
        <v>2516</v>
      </c>
      <c r="H225" s="13" t="s">
        <v>2517</v>
      </c>
      <c r="I225" s="13" t="s">
        <v>2517</v>
      </c>
      <c r="J225" s="15" t="str">
        <f>IFERROR(__xludf.DUMMYFUNCTION("TEXT(REGEXREPLACE(I225, ""[^0-9]"", """"), ""00000-0000000-0"")"),"33301-0782882-2")</f>
        <v>33301-0782882-2</v>
      </c>
      <c r="K225" s="16">
        <v>38896.0</v>
      </c>
      <c r="L225" s="13" t="s">
        <v>31</v>
      </c>
      <c r="M225" s="13" t="s">
        <v>2518</v>
      </c>
      <c r="N225" s="13" t="s">
        <v>93</v>
      </c>
      <c r="O225" s="17">
        <v>2014234.0</v>
      </c>
      <c r="P225" s="17">
        <v>113.0</v>
      </c>
      <c r="Q225" s="18">
        <v>94.0773</v>
      </c>
      <c r="R225" s="13" t="s">
        <v>2516</v>
      </c>
      <c r="S225" s="13" t="s">
        <v>34</v>
      </c>
      <c r="T225" s="14" t="s">
        <v>2519</v>
      </c>
      <c r="U225" s="23"/>
      <c r="V225" s="19" t="s">
        <v>2520</v>
      </c>
      <c r="W225" s="19" t="s">
        <v>2521</v>
      </c>
      <c r="X225" s="19" t="s">
        <v>2522</v>
      </c>
      <c r="Y225" s="19" t="s">
        <v>2523</v>
      </c>
      <c r="Z225" s="20" t="s">
        <v>40</v>
      </c>
      <c r="AA225" s="2"/>
      <c r="AB225" s="2"/>
      <c r="AC225" s="2"/>
      <c r="AD225" s="2"/>
      <c r="AE225" s="2"/>
      <c r="AF225" s="2"/>
    </row>
    <row r="226" ht="22.5" customHeight="1">
      <c r="A226" s="3">
        <v>46026.93635655093</v>
      </c>
      <c r="B226" s="4" t="s">
        <v>2524</v>
      </c>
      <c r="C226" s="4" t="s">
        <v>2524</v>
      </c>
      <c r="D226" s="5" t="s">
        <v>2525</v>
      </c>
      <c r="E226" s="4" t="str">
        <f t="shared" si="1"/>
        <v>+923066127957</v>
      </c>
      <c r="F226" s="4" t="s">
        <v>2526</v>
      </c>
      <c r="G226" s="4" t="s">
        <v>2527</v>
      </c>
      <c r="H226" s="8">
        <v>3.310286501194E12</v>
      </c>
      <c r="I226" s="8">
        <v>3.310286501194E12</v>
      </c>
      <c r="J226" s="21" t="str">
        <f>IFERROR(__xludf.DUMMYFUNCTION("TEXT(REGEXREPLACE(I226, ""[^0-9]"", """"), ""00000-0000000-0"")"),"#VALUE!")</f>
        <v>#VALUE!</v>
      </c>
      <c r="K226" s="7">
        <v>38315.0</v>
      </c>
      <c r="L226" s="4" t="s">
        <v>31</v>
      </c>
      <c r="M226" s="4" t="s">
        <v>2528</v>
      </c>
      <c r="N226" s="4" t="s">
        <v>33</v>
      </c>
      <c r="O226" s="8">
        <v>2010891.0</v>
      </c>
      <c r="P226" s="8">
        <v>73.0</v>
      </c>
      <c r="Q226" s="9">
        <v>94.2364</v>
      </c>
      <c r="R226" s="4" t="s">
        <v>2529</v>
      </c>
      <c r="S226" s="4" t="s">
        <v>50</v>
      </c>
      <c r="T226" s="5" t="s">
        <v>2530</v>
      </c>
      <c r="U226" s="4" t="s">
        <v>2531</v>
      </c>
      <c r="V226" s="10" t="s">
        <v>2532</v>
      </c>
      <c r="W226" s="10" t="s">
        <v>2533</v>
      </c>
      <c r="X226" s="10" t="s">
        <v>2534</v>
      </c>
      <c r="Y226" s="10" t="s">
        <v>2535</v>
      </c>
      <c r="Z226" s="11" t="s">
        <v>40</v>
      </c>
      <c r="AA226" s="2"/>
      <c r="AB226" s="2"/>
      <c r="AC226" s="2"/>
      <c r="AD226" s="2"/>
      <c r="AE226" s="2"/>
      <c r="AF226" s="2"/>
    </row>
    <row r="227" ht="22.5" customHeight="1">
      <c r="A227" s="12">
        <v>46026.94006094907</v>
      </c>
      <c r="B227" s="13" t="s">
        <v>2536</v>
      </c>
      <c r="C227" s="13" t="s">
        <v>2536</v>
      </c>
      <c r="D227" s="14" t="s">
        <v>2537</v>
      </c>
      <c r="E227" s="13" t="str">
        <f t="shared" si="1"/>
        <v>+923336527777</v>
      </c>
      <c r="F227" s="13" t="s">
        <v>2538</v>
      </c>
      <c r="G227" s="13" t="s">
        <v>2539</v>
      </c>
      <c r="H227" s="17">
        <v>3.310210558554E12</v>
      </c>
      <c r="I227" s="17">
        <v>3.310210558554E12</v>
      </c>
      <c r="J227" s="22" t="str">
        <f>IFERROR(__xludf.DUMMYFUNCTION("TEXT(REGEXREPLACE(I227, ""[^0-9]"", """"), ""00000-0000000-0"")"),"#VALUE!")</f>
        <v>#VALUE!</v>
      </c>
      <c r="K227" s="16">
        <v>38305.0</v>
      </c>
      <c r="L227" s="13" t="s">
        <v>31</v>
      </c>
      <c r="M227" s="13" t="s">
        <v>2540</v>
      </c>
      <c r="N227" s="13" t="s">
        <v>33</v>
      </c>
      <c r="O227" s="17">
        <v>2011920.0</v>
      </c>
      <c r="P227" s="17">
        <v>130.0</v>
      </c>
      <c r="Q227" s="18">
        <v>94.0182</v>
      </c>
      <c r="R227" s="13" t="s">
        <v>2539</v>
      </c>
      <c r="S227" s="13" t="s">
        <v>50</v>
      </c>
      <c r="T227" s="14" t="s">
        <v>2541</v>
      </c>
      <c r="U227" s="13" t="s">
        <v>2542</v>
      </c>
      <c r="V227" s="19" t="s">
        <v>2543</v>
      </c>
      <c r="W227" s="19" t="s">
        <v>2544</v>
      </c>
      <c r="X227" s="19" t="s">
        <v>2545</v>
      </c>
      <c r="Y227" s="19" t="s">
        <v>2546</v>
      </c>
      <c r="Z227" s="20" t="s">
        <v>40</v>
      </c>
      <c r="AA227" s="2"/>
      <c r="AB227" s="2"/>
      <c r="AC227" s="2"/>
      <c r="AD227" s="2"/>
      <c r="AE227" s="2"/>
      <c r="AF227" s="2"/>
    </row>
    <row r="228" ht="22.5" customHeight="1">
      <c r="A228" s="3">
        <v>46026.94154565972</v>
      </c>
      <c r="B228" s="4" t="s">
        <v>2547</v>
      </c>
      <c r="C228" s="4" t="s">
        <v>2547</v>
      </c>
      <c r="D228" s="5" t="s">
        <v>2548</v>
      </c>
      <c r="E228" s="4" t="str">
        <f t="shared" si="1"/>
        <v>+923286297594</v>
      </c>
      <c r="F228" s="4" t="s">
        <v>2549</v>
      </c>
      <c r="G228" s="4" t="s">
        <v>2550</v>
      </c>
      <c r="H228" s="8">
        <v>3.230441508693E12</v>
      </c>
      <c r="I228" s="8">
        <v>3.230441508693E12</v>
      </c>
      <c r="J228" s="21" t="str">
        <f>IFERROR(__xludf.DUMMYFUNCTION("TEXT(REGEXREPLACE(I228, ""[^0-9]"", """"), ""00000-0000000-0"")"),"#VALUE!")</f>
        <v>#VALUE!</v>
      </c>
      <c r="K228" s="7">
        <v>38454.0</v>
      </c>
      <c r="L228" s="4" t="s">
        <v>46</v>
      </c>
      <c r="M228" s="4" t="s">
        <v>2551</v>
      </c>
      <c r="N228" s="4" t="s">
        <v>33</v>
      </c>
      <c r="O228" s="8">
        <v>9071433.0</v>
      </c>
      <c r="P228" s="8">
        <v>124.0</v>
      </c>
      <c r="Q228" s="9">
        <v>94.0333</v>
      </c>
      <c r="R228" s="4" t="s">
        <v>2552</v>
      </c>
      <c r="S228" s="4" t="s">
        <v>690</v>
      </c>
      <c r="T228" s="5" t="s">
        <v>2553</v>
      </c>
      <c r="U228" s="4" t="s">
        <v>2554</v>
      </c>
      <c r="V228" s="10" t="s">
        <v>2555</v>
      </c>
      <c r="W228" s="10" t="s">
        <v>2556</v>
      </c>
      <c r="X228" s="10" t="s">
        <v>2557</v>
      </c>
      <c r="Y228" s="10" t="s">
        <v>2558</v>
      </c>
      <c r="Z228" s="11" t="s">
        <v>40</v>
      </c>
      <c r="AA228" s="2"/>
      <c r="AB228" s="2"/>
      <c r="AC228" s="2"/>
      <c r="AD228" s="2"/>
      <c r="AE228" s="2"/>
      <c r="AF228" s="2"/>
    </row>
    <row r="229" ht="22.5" customHeight="1">
      <c r="A229" s="12">
        <v>46026.95144797454</v>
      </c>
      <c r="B229" s="13" t="s">
        <v>2559</v>
      </c>
      <c r="C229" s="13" t="s">
        <v>2559</v>
      </c>
      <c r="D229" s="14" t="s">
        <v>2560</v>
      </c>
      <c r="E229" s="13" t="str">
        <f t="shared" si="1"/>
        <v>+923714044069</v>
      </c>
      <c r="F229" s="13" t="s">
        <v>2561</v>
      </c>
      <c r="G229" s="13" t="s">
        <v>2562</v>
      </c>
      <c r="H229" s="17">
        <v>3.220265986988E12</v>
      </c>
      <c r="I229" s="17">
        <v>3.220265986988E12</v>
      </c>
      <c r="J229" s="22" t="str">
        <f>IFERROR(__xludf.DUMMYFUNCTION("TEXT(REGEXREPLACE(I229, ""[^0-9]"", """"), ""00000-0000000-0"")"),"#VALUE!")</f>
        <v>#VALUE!</v>
      </c>
      <c r="K229" s="16">
        <v>38488.0</v>
      </c>
      <c r="L229" s="13" t="s">
        <v>31</v>
      </c>
      <c r="M229" s="13" t="s">
        <v>2563</v>
      </c>
      <c r="N229" s="13" t="s">
        <v>2274</v>
      </c>
      <c r="O229" s="17">
        <v>2010148.0</v>
      </c>
      <c r="P229" s="17">
        <v>57.0</v>
      </c>
      <c r="Q229" s="18">
        <v>94.3273</v>
      </c>
      <c r="R229" s="13" t="s">
        <v>2562</v>
      </c>
      <c r="S229" s="13" t="s">
        <v>34</v>
      </c>
      <c r="T229" s="13" t="s">
        <v>2564</v>
      </c>
      <c r="U229" s="23"/>
      <c r="V229" s="19" t="s">
        <v>2565</v>
      </c>
      <c r="W229" s="19" t="s">
        <v>2566</v>
      </c>
      <c r="X229" s="19" t="s">
        <v>2567</v>
      </c>
      <c r="Y229" s="19" t="s">
        <v>2568</v>
      </c>
      <c r="Z229" s="20" t="s">
        <v>40</v>
      </c>
      <c r="AA229" s="2"/>
      <c r="AB229" s="2"/>
      <c r="AC229" s="2"/>
      <c r="AD229" s="2"/>
      <c r="AE229" s="2"/>
      <c r="AF229" s="2"/>
    </row>
    <row r="230" ht="22.5" customHeight="1">
      <c r="A230" s="3">
        <v>46026.95422349537</v>
      </c>
      <c r="B230" s="4" t="s">
        <v>2569</v>
      </c>
      <c r="C230" s="4" t="s">
        <v>2569</v>
      </c>
      <c r="D230" s="5" t="s">
        <v>2570</v>
      </c>
      <c r="E230" s="4" t="str">
        <f t="shared" si="1"/>
        <v>+923030311924</v>
      </c>
      <c r="F230" s="4" t="s">
        <v>2571</v>
      </c>
      <c r="G230" s="4" t="s">
        <v>2572</v>
      </c>
      <c r="H230" s="4" t="s">
        <v>2573</v>
      </c>
      <c r="I230" s="4" t="s">
        <v>2573</v>
      </c>
      <c r="J230" s="6" t="str">
        <f>IFERROR(__xludf.DUMMYFUNCTION("TEXT(REGEXREPLACE(I230, ""[^0-9]"", """"), ""00000-0000000-0"")"),"33100-3135429-1")</f>
        <v>33100-3135429-1</v>
      </c>
      <c r="K230" s="7">
        <v>38966.0</v>
      </c>
      <c r="L230" s="4" t="s">
        <v>46</v>
      </c>
      <c r="M230" s="4" t="s">
        <v>2574</v>
      </c>
      <c r="N230" s="4" t="s">
        <v>33</v>
      </c>
      <c r="O230" s="8">
        <v>2090052.0</v>
      </c>
      <c r="P230" s="8">
        <v>45.0</v>
      </c>
      <c r="Q230" s="9">
        <v>94.3697</v>
      </c>
      <c r="R230" s="4" t="s">
        <v>2572</v>
      </c>
      <c r="S230" s="4" t="s">
        <v>34</v>
      </c>
      <c r="T230" s="5" t="s">
        <v>2575</v>
      </c>
      <c r="U230" s="4" t="s">
        <v>2576</v>
      </c>
      <c r="V230" s="10" t="s">
        <v>2577</v>
      </c>
      <c r="W230" s="10" t="s">
        <v>2578</v>
      </c>
      <c r="X230" s="10" t="s">
        <v>2579</v>
      </c>
      <c r="Y230" s="10" t="s">
        <v>2580</v>
      </c>
      <c r="Z230" s="11" t="s">
        <v>40</v>
      </c>
      <c r="AA230" s="2"/>
      <c r="AB230" s="2"/>
      <c r="AC230" s="2"/>
      <c r="AD230" s="2"/>
      <c r="AE230" s="2"/>
      <c r="AF230" s="2"/>
    </row>
    <row r="231" ht="22.5" customHeight="1">
      <c r="A231" s="12">
        <v>46026.956212951394</v>
      </c>
      <c r="B231" s="13" t="s">
        <v>2581</v>
      </c>
      <c r="C231" s="13" t="s">
        <v>2581</v>
      </c>
      <c r="D231" s="14" t="s">
        <v>2582</v>
      </c>
      <c r="E231" s="13" t="str">
        <f t="shared" si="1"/>
        <v>+923710661266</v>
      </c>
      <c r="F231" s="13" t="s">
        <v>2583</v>
      </c>
      <c r="G231" s="13" t="s">
        <v>2584</v>
      </c>
      <c r="H231" s="13" t="s">
        <v>2585</v>
      </c>
      <c r="I231" s="13" t="s">
        <v>2585</v>
      </c>
      <c r="J231" s="15" t="str">
        <f>IFERROR(__xludf.DUMMYFUNCTION("TEXT(REGEXREPLACE(I231, ""[^0-9]"", """"), ""00000-0000000-0"")"),"33301-8967379-5")</f>
        <v>33301-8967379-5</v>
      </c>
      <c r="K231" s="16">
        <v>39773.0</v>
      </c>
      <c r="L231" s="13" t="s">
        <v>46</v>
      </c>
      <c r="M231" s="13" t="s">
        <v>2586</v>
      </c>
      <c r="N231" s="13" t="s">
        <v>93</v>
      </c>
      <c r="O231" s="17">
        <v>2090499.0</v>
      </c>
      <c r="P231" s="17">
        <v>156.0</v>
      </c>
      <c r="Q231" s="18">
        <v>93.967</v>
      </c>
      <c r="R231" s="13" t="s">
        <v>2584</v>
      </c>
      <c r="S231" s="13" t="s">
        <v>34</v>
      </c>
      <c r="T231" s="14" t="s">
        <v>2587</v>
      </c>
      <c r="U231" s="13" t="s">
        <v>2588</v>
      </c>
      <c r="V231" s="19" t="s">
        <v>2589</v>
      </c>
      <c r="W231" s="19" t="s">
        <v>2590</v>
      </c>
      <c r="X231" s="19" t="s">
        <v>2591</v>
      </c>
      <c r="Y231" s="19" t="s">
        <v>2592</v>
      </c>
      <c r="Z231" s="20" t="s">
        <v>40</v>
      </c>
      <c r="AA231" s="2"/>
      <c r="AB231" s="2"/>
      <c r="AC231" s="2"/>
      <c r="AD231" s="2"/>
      <c r="AE231" s="2"/>
      <c r="AF231" s="2"/>
    </row>
    <row r="232" ht="22.5" customHeight="1">
      <c r="A232" s="3">
        <v>46026.97366962963</v>
      </c>
      <c r="B232" s="4" t="s">
        <v>2593</v>
      </c>
      <c r="C232" s="4" t="s">
        <v>2593</v>
      </c>
      <c r="D232" s="5" t="s">
        <v>2594</v>
      </c>
      <c r="E232" s="4" t="str">
        <f t="shared" si="1"/>
        <v>+923277907229</v>
      </c>
      <c r="F232" s="4" t="s">
        <v>2595</v>
      </c>
      <c r="G232" s="4" t="s">
        <v>2596</v>
      </c>
      <c r="H232" s="4" t="s">
        <v>2597</v>
      </c>
      <c r="I232" s="4" t="s">
        <v>2597</v>
      </c>
      <c r="J232" s="6" t="str">
        <f>IFERROR(__xludf.DUMMYFUNCTION("TEXT(REGEXREPLACE(I232, ""[^0-9]"", """"), ""00000-0000000-0"")"),"33104-7656446-1")</f>
        <v>33104-7656446-1</v>
      </c>
      <c r="K232" s="7">
        <v>39077.0</v>
      </c>
      <c r="L232" s="4" t="s">
        <v>46</v>
      </c>
      <c r="M232" s="4" t="s">
        <v>2598</v>
      </c>
      <c r="N232" s="4" t="s">
        <v>33</v>
      </c>
      <c r="O232" s="8">
        <v>2090902.0</v>
      </c>
      <c r="P232" s="8">
        <v>64.0</v>
      </c>
      <c r="Q232" s="9">
        <v>94.27</v>
      </c>
      <c r="R232" s="4" t="s">
        <v>2596</v>
      </c>
      <c r="S232" s="4" t="s">
        <v>34</v>
      </c>
      <c r="T232" s="5" t="s">
        <v>2599</v>
      </c>
      <c r="U232" s="4" t="s">
        <v>2600</v>
      </c>
      <c r="V232" s="10" t="s">
        <v>2601</v>
      </c>
      <c r="W232" s="10" t="s">
        <v>2602</v>
      </c>
      <c r="X232" s="10" t="s">
        <v>2603</v>
      </c>
      <c r="Y232" s="10" t="s">
        <v>2604</v>
      </c>
      <c r="Z232" s="11" t="s">
        <v>40</v>
      </c>
      <c r="AA232" s="2"/>
      <c r="AB232" s="2"/>
      <c r="AC232" s="2"/>
      <c r="AD232" s="2"/>
      <c r="AE232" s="2"/>
      <c r="AF232" s="2"/>
    </row>
    <row r="233" ht="22.5" customHeight="1">
      <c r="A233" s="12">
        <v>46026.98072481481</v>
      </c>
      <c r="B233" s="13" t="s">
        <v>2605</v>
      </c>
      <c r="C233" s="13" t="s">
        <v>2605</v>
      </c>
      <c r="D233" s="14" t="s">
        <v>2606</v>
      </c>
      <c r="E233" s="13" t="str">
        <f t="shared" si="1"/>
        <v>+923218556110</v>
      </c>
      <c r="F233" s="13" t="s">
        <v>2607</v>
      </c>
      <c r="G233" s="13" t="s">
        <v>2608</v>
      </c>
      <c r="H233" s="13" t="s">
        <v>2609</v>
      </c>
      <c r="I233" s="13" t="s">
        <v>2609</v>
      </c>
      <c r="J233" s="15" t="str">
        <f>IFERROR(__xludf.DUMMYFUNCTION("TEXT(REGEXREPLACE(I233, ""[^0-9]"", """"), ""00000-0000000-0"")"),"33102-5494522-6")</f>
        <v>33102-5494522-6</v>
      </c>
      <c r="K233" s="16">
        <v>38368.0</v>
      </c>
      <c r="L233" s="13" t="s">
        <v>31</v>
      </c>
      <c r="M233" s="13" t="s">
        <v>2610</v>
      </c>
      <c r="N233" s="13" t="s">
        <v>33</v>
      </c>
      <c r="O233" s="17">
        <v>2011923.0</v>
      </c>
      <c r="P233" s="17">
        <v>181.0</v>
      </c>
      <c r="Q233" s="18">
        <v>93.9227</v>
      </c>
      <c r="R233" s="13" t="s">
        <v>2611</v>
      </c>
      <c r="S233" s="13" t="s">
        <v>50</v>
      </c>
      <c r="T233" s="14" t="s">
        <v>2612</v>
      </c>
      <c r="U233" s="13" t="s">
        <v>2605</v>
      </c>
      <c r="V233" s="19" t="s">
        <v>2613</v>
      </c>
      <c r="W233" s="19" t="s">
        <v>2614</v>
      </c>
      <c r="X233" s="23"/>
      <c r="Y233" s="23"/>
      <c r="Z233" s="20" t="s">
        <v>40</v>
      </c>
      <c r="AA233" s="2"/>
      <c r="AB233" s="2"/>
      <c r="AC233" s="2"/>
      <c r="AD233" s="2"/>
      <c r="AE233" s="2"/>
      <c r="AF233" s="2"/>
    </row>
    <row r="234" ht="22.5" customHeight="1">
      <c r="A234" s="3">
        <v>46027.01326556713</v>
      </c>
      <c r="B234" s="4" t="s">
        <v>2615</v>
      </c>
      <c r="C234" s="4" t="s">
        <v>2615</v>
      </c>
      <c r="D234" s="5" t="s">
        <v>2616</v>
      </c>
      <c r="E234" s="4" t="str">
        <f t="shared" si="1"/>
        <v>+923091908762</v>
      </c>
      <c r="F234" s="4" t="s">
        <v>2617</v>
      </c>
      <c r="G234" s="4" t="s">
        <v>2618</v>
      </c>
      <c r="H234" s="8">
        <v>3.31005060276E12</v>
      </c>
      <c r="I234" s="8">
        <v>3.31005060276E12</v>
      </c>
      <c r="J234" s="21" t="str">
        <f>IFERROR(__xludf.DUMMYFUNCTION("TEXT(REGEXREPLACE(I234, ""[^0-9]"", """"), ""00000-0000000-0"")"),"#VALUE!")</f>
        <v>#VALUE!</v>
      </c>
      <c r="K234" s="7">
        <v>38444.0</v>
      </c>
      <c r="L234" s="4" t="s">
        <v>31</v>
      </c>
      <c r="M234" s="4" t="s">
        <v>2619</v>
      </c>
      <c r="N234" s="4" t="s">
        <v>33</v>
      </c>
      <c r="O234" s="8">
        <v>2013657.0</v>
      </c>
      <c r="P234" s="8">
        <v>18.0</v>
      </c>
      <c r="Q234" s="9">
        <v>95.5556</v>
      </c>
      <c r="R234" s="4" t="s">
        <v>2618</v>
      </c>
      <c r="S234" s="4" t="s">
        <v>34</v>
      </c>
      <c r="T234" s="5" t="s">
        <v>2620</v>
      </c>
      <c r="U234" s="4" t="s">
        <v>2621</v>
      </c>
      <c r="V234" s="10" t="s">
        <v>2622</v>
      </c>
      <c r="W234" s="10" t="s">
        <v>2623</v>
      </c>
      <c r="X234" s="10" t="s">
        <v>2624</v>
      </c>
      <c r="Y234" s="10" t="s">
        <v>2625</v>
      </c>
      <c r="Z234" s="11" t="s">
        <v>40</v>
      </c>
      <c r="AA234" s="2"/>
      <c r="AB234" s="2"/>
      <c r="AC234" s="2"/>
      <c r="AD234" s="2"/>
      <c r="AE234" s="2"/>
      <c r="AF234" s="2"/>
    </row>
    <row r="235" ht="22.5" customHeight="1">
      <c r="A235" s="12">
        <v>46027.02383622685</v>
      </c>
      <c r="B235" s="13" t="s">
        <v>2626</v>
      </c>
      <c r="C235" s="13" t="s">
        <v>2626</v>
      </c>
      <c r="D235" s="14" t="s">
        <v>2627</v>
      </c>
      <c r="E235" s="13" t="str">
        <f t="shared" si="1"/>
        <v>+923331755920</v>
      </c>
      <c r="F235" s="13" t="s">
        <v>2628</v>
      </c>
      <c r="G235" s="13" t="s">
        <v>2629</v>
      </c>
      <c r="H235" s="13" t="s">
        <v>2630</v>
      </c>
      <c r="I235" s="13" t="s">
        <v>2630</v>
      </c>
      <c r="J235" s="15" t="str">
        <f>IFERROR(__xludf.DUMMYFUNCTION("TEXT(REGEXREPLACE(I235, ""[^0-9]"", """"), ""00000-0000000-0"")"),"33102-3898416-7")</f>
        <v>33102-3898416-7</v>
      </c>
      <c r="K235" s="16">
        <v>39127.0</v>
      </c>
      <c r="L235" s="13" t="s">
        <v>46</v>
      </c>
      <c r="M235" s="13" t="s">
        <v>2631</v>
      </c>
      <c r="N235" s="13" t="s">
        <v>33</v>
      </c>
      <c r="O235" s="17">
        <v>2070896.0</v>
      </c>
      <c r="P235" s="17">
        <v>77.0</v>
      </c>
      <c r="Q235" s="18">
        <v>94.2182</v>
      </c>
      <c r="R235" s="13" t="s">
        <v>2632</v>
      </c>
      <c r="S235" s="13" t="s">
        <v>34</v>
      </c>
      <c r="T235" s="14" t="s">
        <v>2633</v>
      </c>
      <c r="U235" s="13" t="s">
        <v>2634</v>
      </c>
      <c r="V235" s="19" t="s">
        <v>2635</v>
      </c>
      <c r="W235" s="19" t="s">
        <v>2636</v>
      </c>
      <c r="X235" s="19" t="s">
        <v>2637</v>
      </c>
      <c r="Y235" s="19" t="s">
        <v>2638</v>
      </c>
      <c r="Z235" s="20" t="s">
        <v>40</v>
      </c>
      <c r="AA235" s="2"/>
      <c r="AB235" s="2"/>
      <c r="AC235" s="2"/>
      <c r="AD235" s="2"/>
      <c r="AE235" s="2"/>
      <c r="AF235" s="2"/>
    </row>
    <row r="236" ht="22.5" customHeight="1">
      <c r="A236" s="3">
        <v>46027.25044422454</v>
      </c>
      <c r="B236" s="4" t="s">
        <v>2639</v>
      </c>
      <c r="C236" s="4" t="s">
        <v>2639</v>
      </c>
      <c r="D236" s="5" t="s">
        <v>2640</v>
      </c>
      <c r="E236" s="4" t="str">
        <f t="shared" si="1"/>
        <v>+923237296594</v>
      </c>
      <c r="F236" s="4" t="s">
        <v>2641</v>
      </c>
      <c r="G236" s="4" t="s">
        <v>2642</v>
      </c>
      <c r="H236" s="4" t="s">
        <v>2643</v>
      </c>
      <c r="I236" s="4" t="s">
        <v>2643</v>
      </c>
      <c r="J236" s="6" t="str">
        <f>IFERROR(__xludf.DUMMYFUNCTION("TEXT(REGEXREPLACE(I236, ""[^0-9]"", """"), ""00000-0000000-0"")"),"33102-6425177-0")</f>
        <v>33102-6425177-0</v>
      </c>
      <c r="K236" s="7">
        <v>40005.0</v>
      </c>
      <c r="L236" s="4" t="s">
        <v>31</v>
      </c>
      <c r="M236" s="4" t="s">
        <v>2644</v>
      </c>
      <c r="N236" s="4" t="s">
        <v>33</v>
      </c>
      <c r="O236" s="8">
        <v>2012854.0</v>
      </c>
      <c r="P236" s="8">
        <v>191.0</v>
      </c>
      <c r="Q236" s="9">
        <v>92.777</v>
      </c>
      <c r="R236" s="4" t="s">
        <v>2645</v>
      </c>
      <c r="S236" s="4" t="s">
        <v>50</v>
      </c>
      <c r="T236" s="4" t="s">
        <v>2646</v>
      </c>
      <c r="U236" s="4" t="s">
        <v>2647</v>
      </c>
      <c r="V236" s="25"/>
      <c r="W236" s="25"/>
      <c r="X236" s="25"/>
      <c r="Y236" s="25"/>
      <c r="Z236" s="11" t="s">
        <v>40</v>
      </c>
      <c r="AA236" s="2"/>
      <c r="AB236" s="2"/>
      <c r="AC236" s="2"/>
      <c r="AD236" s="2"/>
      <c r="AE236" s="2"/>
      <c r="AF236" s="2"/>
    </row>
    <row r="237" ht="22.5" customHeight="1">
      <c r="A237" s="12">
        <v>46027.32560166667</v>
      </c>
      <c r="B237" s="13" t="s">
        <v>2648</v>
      </c>
      <c r="C237" s="13" t="s">
        <v>2648</v>
      </c>
      <c r="D237" s="14" t="s">
        <v>2649</v>
      </c>
      <c r="E237" s="13" t="str">
        <f t="shared" si="1"/>
        <v>+923195382660</v>
      </c>
      <c r="F237" s="17">
        <v>3.720193083129E12</v>
      </c>
      <c r="G237" s="13" t="s">
        <v>2650</v>
      </c>
      <c r="H237" s="17">
        <v>3.720193083129E12</v>
      </c>
      <c r="I237" s="17">
        <v>3.720193083129E12</v>
      </c>
      <c r="J237" s="22" t="str">
        <f>IFERROR(__xludf.DUMMYFUNCTION("TEXT(REGEXREPLACE(I237, ""[^0-9]"", """"), ""00000-0000000-0"")"),"#VALUE!")</f>
        <v>#VALUE!</v>
      </c>
      <c r="K237" s="16">
        <v>38488.0</v>
      </c>
      <c r="L237" s="13" t="s">
        <v>46</v>
      </c>
      <c r="M237" s="13" t="s">
        <v>2651</v>
      </c>
      <c r="N237" s="13" t="s">
        <v>93</v>
      </c>
      <c r="O237" s="17">
        <v>7081992.0</v>
      </c>
      <c r="P237" s="17">
        <v>268.0</v>
      </c>
      <c r="Q237" s="18">
        <v>94.44</v>
      </c>
      <c r="R237" s="13" t="s">
        <v>2650</v>
      </c>
      <c r="S237" s="13" t="s">
        <v>34</v>
      </c>
      <c r="T237" s="14" t="s">
        <v>2652</v>
      </c>
      <c r="U237" s="13" t="s">
        <v>2648</v>
      </c>
      <c r="V237" s="19" t="s">
        <v>2653</v>
      </c>
      <c r="W237" s="19" t="s">
        <v>2654</v>
      </c>
      <c r="X237" s="19" t="s">
        <v>2655</v>
      </c>
      <c r="Y237" s="19" t="s">
        <v>2656</v>
      </c>
      <c r="Z237" s="20" t="s">
        <v>40</v>
      </c>
      <c r="AA237" s="2"/>
      <c r="AB237" s="2"/>
      <c r="AC237" s="2"/>
      <c r="AD237" s="2"/>
      <c r="AE237" s="2"/>
      <c r="AF237" s="2"/>
    </row>
    <row r="238" ht="22.5" customHeight="1">
      <c r="A238" s="3">
        <v>46027.37101362269</v>
      </c>
      <c r="B238" s="4" t="s">
        <v>2657</v>
      </c>
      <c r="C238" s="4" t="s">
        <v>2657</v>
      </c>
      <c r="D238" s="5" t="s">
        <v>2658</v>
      </c>
      <c r="E238" s="4" t="str">
        <f t="shared" si="1"/>
        <v>+923356107519</v>
      </c>
      <c r="F238" s="4" t="s">
        <v>2659</v>
      </c>
      <c r="G238" s="4" t="s">
        <v>91</v>
      </c>
      <c r="H238" s="8">
        <v>3.220358284036E12</v>
      </c>
      <c r="I238" s="8">
        <v>3.220358284036E12</v>
      </c>
      <c r="J238" s="21" t="str">
        <f>IFERROR(__xludf.DUMMYFUNCTION("TEXT(REGEXREPLACE(I238, ""[^0-9]"", """"), ""00000-0000000-0"")"),"#VALUE!")</f>
        <v>#VALUE!</v>
      </c>
      <c r="K238" s="7">
        <v>38876.0</v>
      </c>
      <c r="L238" s="4" t="s">
        <v>31</v>
      </c>
      <c r="M238" s="4" t="s">
        <v>2660</v>
      </c>
      <c r="N238" s="4" t="s">
        <v>93</v>
      </c>
      <c r="O238" s="8">
        <v>9011806.0</v>
      </c>
      <c r="P238" s="8">
        <v>253.0</v>
      </c>
      <c r="Q238" s="9">
        <v>92.5</v>
      </c>
      <c r="R238" s="4" t="s">
        <v>443</v>
      </c>
      <c r="S238" s="4" t="s">
        <v>34</v>
      </c>
      <c r="T238" s="5" t="s">
        <v>2661</v>
      </c>
      <c r="U238" s="4" t="s">
        <v>2662</v>
      </c>
      <c r="V238" s="10" t="s">
        <v>2663</v>
      </c>
      <c r="W238" s="10" t="s">
        <v>2664</v>
      </c>
      <c r="X238" s="10" t="s">
        <v>2665</v>
      </c>
      <c r="Y238" s="10" t="s">
        <v>2666</v>
      </c>
      <c r="Z238" s="11" t="s">
        <v>40</v>
      </c>
      <c r="AA238" s="2"/>
      <c r="AB238" s="2"/>
      <c r="AC238" s="2"/>
      <c r="AD238" s="2"/>
      <c r="AE238" s="2"/>
      <c r="AF238" s="2"/>
    </row>
    <row r="239" ht="22.5" customHeight="1">
      <c r="A239" s="12">
        <v>46027.47343298611</v>
      </c>
      <c r="B239" s="13" t="s">
        <v>2667</v>
      </c>
      <c r="C239" s="13" t="s">
        <v>2667</v>
      </c>
      <c r="D239" s="14" t="s">
        <v>2668</v>
      </c>
      <c r="E239" s="13" t="str">
        <f t="shared" si="1"/>
        <v>+923338053838</v>
      </c>
      <c r="F239" s="13" t="s">
        <v>2669</v>
      </c>
      <c r="G239" s="13" t="s">
        <v>2670</v>
      </c>
      <c r="H239" s="13" t="s">
        <v>2671</v>
      </c>
      <c r="I239" s="13" t="s">
        <v>2671</v>
      </c>
      <c r="J239" s="15" t="str">
        <f>IFERROR(__xludf.DUMMYFUNCTION("TEXT(REGEXREPLACE(I239, ""[^0-9]"", """"), ""00000-0000000-0"")"),"38101-2960017-5")</f>
        <v>38101-2960017-5</v>
      </c>
      <c r="K239" s="16">
        <v>38988.0</v>
      </c>
      <c r="L239" s="13" t="s">
        <v>46</v>
      </c>
      <c r="M239" s="13" t="s">
        <v>2672</v>
      </c>
      <c r="N239" s="13" t="s">
        <v>33</v>
      </c>
      <c r="O239" s="17">
        <v>9077149.0</v>
      </c>
      <c r="P239" s="17">
        <v>280.0</v>
      </c>
      <c r="Q239" s="18">
        <v>92.22</v>
      </c>
      <c r="R239" s="13" t="s">
        <v>2670</v>
      </c>
      <c r="S239" s="13" t="s">
        <v>34</v>
      </c>
      <c r="T239" s="14" t="s">
        <v>2673</v>
      </c>
      <c r="U239" s="13" t="s">
        <v>2674</v>
      </c>
      <c r="V239" s="19" t="s">
        <v>2675</v>
      </c>
      <c r="W239" s="19" t="s">
        <v>2676</v>
      </c>
      <c r="X239" s="19" t="s">
        <v>2677</v>
      </c>
      <c r="Y239" s="19" t="s">
        <v>2678</v>
      </c>
      <c r="Z239" s="20" t="s">
        <v>40</v>
      </c>
      <c r="AA239" s="2"/>
      <c r="AB239" s="2"/>
      <c r="AC239" s="2"/>
      <c r="AD239" s="2"/>
      <c r="AE239" s="2"/>
      <c r="AF239" s="2"/>
    </row>
    <row r="240" ht="22.5" customHeight="1">
      <c r="A240" s="3">
        <v>46027.50464454861</v>
      </c>
      <c r="B240" s="4" t="s">
        <v>2679</v>
      </c>
      <c r="C240" s="4" t="s">
        <v>2679</v>
      </c>
      <c r="D240" s="5" t="s">
        <v>2680</v>
      </c>
      <c r="E240" s="4" t="str">
        <f t="shared" si="1"/>
        <v>+923176323421</v>
      </c>
      <c r="F240" s="4" t="s">
        <v>2681</v>
      </c>
      <c r="G240" s="4" t="s">
        <v>2682</v>
      </c>
      <c r="H240" s="8">
        <v>3.220350851246E12</v>
      </c>
      <c r="I240" s="8">
        <v>3.220350851246E12</v>
      </c>
      <c r="J240" s="21" t="str">
        <f>IFERROR(__xludf.DUMMYFUNCTION("TEXT(REGEXREPLACE(I240, ""[^0-9]"", """"), ""00000-0000000-0"")"),"#VALUE!")</f>
        <v>#VALUE!</v>
      </c>
      <c r="K240" s="7">
        <v>38732.0</v>
      </c>
      <c r="L240" s="4" t="s">
        <v>31</v>
      </c>
      <c r="M240" s="4" t="s">
        <v>2683</v>
      </c>
      <c r="N240" s="4" t="s">
        <v>33</v>
      </c>
      <c r="O240" s="8">
        <v>9011657.0</v>
      </c>
      <c r="P240" s="8">
        <v>168.0</v>
      </c>
      <c r="Q240" s="9">
        <v>93.94</v>
      </c>
      <c r="R240" s="4" t="s">
        <v>2684</v>
      </c>
      <c r="S240" s="4" t="s">
        <v>34</v>
      </c>
      <c r="T240" s="5" t="s">
        <v>2685</v>
      </c>
      <c r="U240" s="4" t="s">
        <v>2686</v>
      </c>
      <c r="V240" s="10" t="s">
        <v>2687</v>
      </c>
      <c r="W240" s="10" t="s">
        <v>2688</v>
      </c>
      <c r="X240" s="10" t="s">
        <v>2689</v>
      </c>
      <c r="Y240" s="10" t="s">
        <v>2690</v>
      </c>
      <c r="Z240" s="11" t="s">
        <v>40</v>
      </c>
      <c r="AA240" s="2"/>
      <c r="AB240" s="2"/>
      <c r="AC240" s="2"/>
      <c r="AD240" s="2"/>
      <c r="AE240" s="2"/>
      <c r="AF240" s="2"/>
    </row>
    <row r="241" ht="22.5" customHeight="1">
      <c r="A241" s="12">
        <v>46027.59989978009</v>
      </c>
      <c r="B241" s="13" t="s">
        <v>2691</v>
      </c>
      <c r="C241" s="13" t="s">
        <v>2691</v>
      </c>
      <c r="D241" s="14" t="s">
        <v>2692</v>
      </c>
      <c r="E241" s="13" t="str">
        <f t="shared" si="1"/>
        <v>+923194170622</v>
      </c>
      <c r="F241" s="13" t="s">
        <v>2693</v>
      </c>
      <c r="G241" s="13" t="s">
        <v>2694</v>
      </c>
      <c r="H241" s="17">
        <v>3.510214627899E12</v>
      </c>
      <c r="I241" s="17">
        <v>3.510214627899E12</v>
      </c>
      <c r="J241" s="22" t="str">
        <f>IFERROR(__xludf.DUMMYFUNCTION("TEXT(REGEXREPLACE(I241, ""[^0-9]"", """"), ""00000-0000000-0"")"),"#VALUE!")</f>
        <v>#VALUE!</v>
      </c>
      <c r="K241" s="16">
        <v>37196.0</v>
      </c>
      <c r="L241" s="13" t="s">
        <v>46</v>
      </c>
      <c r="M241" s="13" t="s">
        <v>2695</v>
      </c>
      <c r="N241" s="13" t="s">
        <v>33</v>
      </c>
      <c r="O241" s="17">
        <v>1073615.0</v>
      </c>
      <c r="P241" s="17">
        <v>171.0</v>
      </c>
      <c r="Q241" s="18">
        <v>93.9409</v>
      </c>
      <c r="R241" s="13" t="s">
        <v>2696</v>
      </c>
      <c r="S241" s="13" t="s">
        <v>34</v>
      </c>
      <c r="T241" s="14" t="s">
        <v>2697</v>
      </c>
      <c r="U241" s="13" t="s">
        <v>2691</v>
      </c>
      <c r="V241" s="19" t="s">
        <v>2698</v>
      </c>
      <c r="W241" s="19" t="s">
        <v>2699</v>
      </c>
      <c r="X241" s="19" t="s">
        <v>2700</v>
      </c>
      <c r="Y241" s="19" t="s">
        <v>2701</v>
      </c>
      <c r="Z241" s="20" t="s">
        <v>40</v>
      </c>
      <c r="AA241" s="2"/>
      <c r="AB241" s="2"/>
      <c r="AC241" s="2"/>
      <c r="AD241" s="2"/>
      <c r="AE241" s="2"/>
      <c r="AF241" s="2"/>
    </row>
    <row r="242" ht="22.5" customHeight="1">
      <c r="A242" s="3">
        <v>46027.60014042824</v>
      </c>
      <c r="B242" s="4" t="s">
        <v>473</v>
      </c>
      <c r="C242" s="4" t="s">
        <v>473</v>
      </c>
      <c r="D242" s="5" t="s">
        <v>474</v>
      </c>
      <c r="E242" s="4" t="str">
        <f t="shared" si="1"/>
        <v>+923366500819</v>
      </c>
      <c r="F242" s="4" t="s">
        <v>475</v>
      </c>
      <c r="G242" s="4" t="s">
        <v>476</v>
      </c>
      <c r="H242" s="4" t="s">
        <v>477</v>
      </c>
      <c r="I242" s="4" t="s">
        <v>477</v>
      </c>
      <c r="J242" s="6" t="str">
        <f>IFERROR(__xludf.DUMMYFUNCTION("TEXT(REGEXREPLACE(I242, ""[^0-9]"", """"), ""00000-0000000-0"")"),"33100-0690147-6")</f>
        <v>33100-0690147-6</v>
      </c>
      <c r="K242" s="7">
        <v>37279.0</v>
      </c>
      <c r="L242" s="4" t="s">
        <v>31</v>
      </c>
      <c r="M242" s="4" t="s">
        <v>478</v>
      </c>
      <c r="N242" s="4" t="s">
        <v>48</v>
      </c>
      <c r="O242" s="8">
        <v>2010271.0</v>
      </c>
      <c r="P242" s="8">
        <v>221.0</v>
      </c>
      <c r="Q242" s="9">
        <v>93.8747</v>
      </c>
      <c r="R242" s="4" t="s">
        <v>476</v>
      </c>
      <c r="S242" s="4" t="s">
        <v>50</v>
      </c>
      <c r="T242" s="5" t="s">
        <v>2702</v>
      </c>
      <c r="U242" s="4" t="s">
        <v>480</v>
      </c>
      <c r="V242" s="10" t="s">
        <v>2703</v>
      </c>
      <c r="W242" s="10" t="s">
        <v>2704</v>
      </c>
      <c r="X242" s="10" t="s">
        <v>2705</v>
      </c>
      <c r="Y242" s="10" t="s">
        <v>2706</v>
      </c>
      <c r="Z242" s="11" t="s">
        <v>40</v>
      </c>
      <c r="AA242" s="2"/>
      <c r="AB242" s="2"/>
      <c r="AC242" s="2"/>
      <c r="AD242" s="2"/>
      <c r="AE242" s="2"/>
      <c r="AF242" s="2"/>
    </row>
    <row r="243" ht="22.5" customHeight="1">
      <c r="A243" s="12">
        <v>46027.6193653125</v>
      </c>
      <c r="B243" s="13" t="s">
        <v>2707</v>
      </c>
      <c r="C243" s="13" t="s">
        <v>2708</v>
      </c>
      <c r="D243" s="14" t="s">
        <v>2709</v>
      </c>
      <c r="E243" s="13" t="str">
        <f t="shared" si="1"/>
        <v>+923406756713</v>
      </c>
      <c r="F243" s="17">
        <v>3.550103055814E12</v>
      </c>
      <c r="G243" s="13" t="s">
        <v>2710</v>
      </c>
      <c r="H243" s="17">
        <v>3.540220188047E12</v>
      </c>
      <c r="I243" s="17">
        <v>3.540220188047E12</v>
      </c>
      <c r="J243" s="22" t="str">
        <f>IFERROR(__xludf.DUMMYFUNCTION("TEXT(REGEXREPLACE(I243, ""[^0-9]"", """"), ""00000-0000000-0"")"),"#VALUE!")</f>
        <v>#VALUE!</v>
      </c>
      <c r="K243" s="16">
        <v>38681.0</v>
      </c>
      <c r="L243" s="13" t="s">
        <v>31</v>
      </c>
      <c r="M243" s="13" t="s">
        <v>2711</v>
      </c>
      <c r="N243" s="13" t="s">
        <v>33</v>
      </c>
      <c r="O243" s="17">
        <v>2010395.0</v>
      </c>
      <c r="P243" s="17">
        <v>263.0</v>
      </c>
      <c r="Q243" s="18">
        <v>93.8318</v>
      </c>
      <c r="R243" s="13" t="s">
        <v>2710</v>
      </c>
      <c r="S243" s="13" t="s">
        <v>34</v>
      </c>
      <c r="T243" s="14" t="s">
        <v>2712</v>
      </c>
      <c r="U243" s="13" t="s">
        <v>2713</v>
      </c>
      <c r="V243" s="19" t="s">
        <v>2714</v>
      </c>
      <c r="W243" s="19" t="s">
        <v>2715</v>
      </c>
      <c r="X243" s="19" t="s">
        <v>2716</v>
      </c>
      <c r="Y243" s="19" t="s">
        <v>2717</v>
      </c>
      <c r="Z243" s="20" t="s">
        <v>40</v>
      </c>
      <c r="AA243" s="2"/>
      <c r="AB243" s="2"/>
      <c r="AC243" s="2"/>
      <c r="AD243" s="2"/>
      <c r="AE243" s="2"/>
      <c r="AF243" s="2"/>
    </row>
    <row r="244" ht="22.5" customHeight="1">
      <c r="A244" s="3">
        <v>46027.61946248842</v>
      </c>
      <c r="B244" s="4" t="s">
        <v>2718</v>
      </c>
      <c r="C244" s="4" t="s">
        <v>2718</v>
      </c>
      <c r="D244" s="5" t="s">
        <v>2719</v>
      </c>
      <c r="E244" s="4" t="str">
        <f t="shared" si="1"/>
        <v>+923107835451</v>
      </c>
      <c r="F244" s="4" t="s">
        <v>2720</v>
      </c>
      <c r="G244" s="4" t="s">
        <v>2721</v>
      </c>
      <c r="H244" s="8">
        <v>3.31007125209E12</v>
      </c>
      <c r="I244" s="8">
        <v>3.31007125209E12</v>
      </c>
      <c r="J244" s="21" t="str">
        <f>IFERROR(__xludf.DUMMYFUNCTION("TEXT(REGEXREPLACE(I244, ""[^0-9]"", """"), ""00000-0000000-0"")"),"#VALUE!")</f>
        <v>#VALUE!</v>
      </c>
      <c r="K244" s="7">
        <v>38842.0</v>
      </c>
      <c r="L244" s="4" t="s">
        <v>31</v>
      </c>
      <c r="M244" s="4" t="s">
        <v>2722</v>
      </c>
      <c r="N244" s="4" t="s">
        <v>93</v>
      </c>
      <c r="O244" s="8">
        <v>2013807.0</v>
      </c>
      <c r="P244" s="8">
        <v>59.0</v>
      </c>
      <c r="Q244" s="9">
        <v>95.0</v>
      </c>
      <c r="R244" s="4" t="s">
        <v>2723</v>
      </c>
      <c r="S244" s="4" t="s">
        <v>95</v>
      </c>
      <c r="T244" s="5" t="s">
        <v>2724</v>
      </c>
      <c r="U244" s="4" t="s">
        <v>2725</v>
      </c>
      <c r="V244" s="10" t="s">
        <v>2726</v>
      </c>
      <c r="W244" s="10" t="s">
        <v>2727</v>
      </c>
      <c r="X244" s="10" t="s">
        <v>2728</v>
      </c>
      <c r="Y244" s="25"/>
      <c r="Z244" s="11" t="s">
        <v>40</v>
      </c>
      <c r="AA244" s="2"/>
      <c r="AB244" s="2"/>
      <c r="AC244" s="2"/>
      <c r="AD244" s="2"/>
      <c r="AE244" s="2"/>
      <c r="AF244" s="2"/>
    </row>
    <row r="245" ht="22.5" customHeight="1">
      <c r="A245" s="12">
        <v>46027.64037997685</v>
      </c>
      <c r="B245" s="13" t="s">
        <v>2729</v>
      </c>
      <c r="C245" s="13" t="s">
        <v>2729</v>
      </c>
      <c r="D245" s="14" t="s">
        <v>2730</v>
      </c>
      <c r="E245" s="13" t="str">
        <f t="shared" si="1"/>
        <v>+923483880425</v>
      </c>
      <c r="F245" s="13" t="s">
        <v>2731</v>
      </c>
      <c r="G245" s="13" t="s">
        <v>2732</v>
      </c>
      <c r="H245" s="13" t="s">
        <v>2733</v>
      </c>
      <c r="I245" s="13" t="s">
        <v>2733</v>
      </c>
      <c r="J245" s="15" t="str">
        <f>IFERROR(__xludf.DUMMYFUNCTION("TEXT(REGEXREPLACE(I245, ""[^0-9]"", """"), ""00000-0000000-0"")"),"33201-3709956-7")</f>
        <v>33201-3709956-7</v>
      </c>
      <c r="K245" s="16">
        <v>39434.0</v>
      </c>
      <c r="L245" s="13" t="s">
        <v>46</v>
      </c>
      <c r="M245" s="13" t="s">
        <v>2734</v>
      </c>
      <c r="N245" s="13" t="s">
        <v>33</v>
      </c>
      <c r="O245" s="17">
        <v>3070503.0</v>
      </c>
      <c r="P245" s="17">
        <v>143.0</v>
      </c>
      <c r="Q245" s="18">
        <v>93.9939</v>
      </c>
      <c r="R245" s="13" t="s">
        <v>2732</v>
      </c>
      <c r="S245" s="13" t="s">
        <v>34</v>
      </c>
      <c r="T245" s="14" t="s">
        <v>2735</v>
      </c>
      <c r="U245" s="13" t="s">
        <v>2736</v>
      </c>
      <c r="V245" s="19" t="s">
        <v>2737</v>
      </c>
      <c r="W245" s="19" t="s">
        <v>2738</v>
      </c>
      <c r="X245" s="19" t="s">
        <v>2739</v>
      </c>
      <c r="Y245" s="19" t="s">
        <v>2740</v>
      </c>
      <c r="Z245" s="20" t="s">
        <v>40</v>
      </c>
      <c r="AA245" s="2"/>
      <c r="AB245" s="2"/>
      <c r="AC245" s="2"/>
      <c r="AD245" s="2"/>
      <c r="AE245" s="2"/>
      <c r="AF245" s="2"/>
    </row>
    <row r="246" ht="22.5" customHeight="1">
      <c r="A246" s="3">
        <v>46027.64099179398</v>
      </c>
      <c r="B246" s="4" t="s">
        <v>2741</v>
      </c>
      <c r="C246" s="4" t="s">
        <v>2741</v>
      </c>
      <c r="D246" s="4" t="s">
        <v>2742</v>
      </c>
      <c r="E246" s="26" t="str">
        <f t="shared" si="1"/>
        <v>+92316-5411129</v>
      </c>
      <c r="F246" s="4" t="s">
        <v>2743</v>
      </c>
      <c r="G246" s="4" t="s">
        <v>2744</v>
      </c>
      <c r="H246" s="4" t="s">
        <v>2745</v>
      </c>
      <c r="I246" s="4" t="s">
        <v>2745</v>
      </c>
      <c r="J246" s="6" t="str">
        <f>IFERROR(__xludf.DUMMYFUNCTION("TEXT(REGEXREPLACE(I246, ""[^0-9]"", """"), ""00000-0000000-0"")"),"37405-2806486-6")</f>
        <v>37405-2806486-6</v>
      </c>
      <c r="K246" s="7">
        <v>38618.0</v>
      </c>
      <c r="L246" s="4" t="s">
        <v>31</v>
      </c>
      <c r="M246" s="4" t="s">
        <v>2746</v>
      </c>
      <c r="N246" s="4" t="s">
        <v>33</v>
      </c>
      <c r="O246" s="8">
        <v>3007273.0</v>
      </c>
      <c r="P246" s="8">
        <v>235.0</v>
      </c>
      <c r="Q246" s="9">
        <v>93.8636</v>
      </c>
      <c r="R246" s="4" t="s">
        <v>2747</v>
      </c>
      <c r="S246" s="4" t="s">
        <v>34</v>
      </c>
      <c r="T246" s="4" t="s">
        <v>2748</v>
      </c>
      <c r="U246" s="25"/>
      <c r="V246" s="10" t="s">
        <v>2749</v>
      </c>
      <c r="W246" s="10" t="s">
        <v>2750</v>
      </c>
      <c r="X246" s="10" t="s">
        <v>2751</v>
      </c>
      <c r="Y246" s="10" t="s">
        <v>2752</v>
      </c>
      <c r="Z246" s="11" t="s">
        <v>40</v>
      </c>
      <c r="AA246" s="2"/>
      <c r="AB246" s="2"/>
      <c r="AC246" s="2"/>
      <c r="AD246" s="2"/>
      <c r="AE246" s="2"/>
      <c r="AF246" s="2"/>
    </row>
    <row r="247" ht="22.5" customHeight="1">
      <c r="A247" s="12">
        <v>46027.6596980787</v>
      </c>
      <c r="B247" s="13" t="s">
        <v>2753</v>
      </c>
      <c r="C247" s="13" t="s">
        <v>2753</v>
      </c>
      <c r="D247" s="14" t="s">
        <v>2754</v>
      </c>
      <c r="E247" s="13" t="str">
        <f t="shared" si="1"/>
        <v>+923006433667</v>
      </c>
      <c r="F247" s="13" t="s">
        <v>2755</v>
      </c>
      <c r="G247" s="13" t="s">
        <v>2756</v>
      </c>
      <c r="H247" s="13" t="s">
        <v>2757</v>
      </c>
      <c r="I247" s="13" t="s">
        <v>2757</v>
      </c>
      <c r="J247" s="15" t="str">
        <f>IFERROR(__xludf.DUMMYFUNCTION("TEXT(REGEXREPLACE(I247, ""[^0-9]"", """"), ""00000-0000000-0"")"),"33102-6384160-6")</f>
        <v>33102-6384160-6</v>
      </c>
      <c r="K247" s="16">
        <v>39651.0</v>
      </c>
      <c r="L247" s="13" t="s">
        <v>31</v>
      </c>
      <c r="M247" s="13" t="s">
        <v>2758</v>
      </c>
      <c r="N247" s="13" t="s">
        <v>33</v>
      </c>
      <c r="O247" s="17">
        <v>2010392.0</v>
      </c>
      <c r="P247" s="17">
        <v>12.0</v>
      </c>
      <c r="Q247" s="18">
        <v>94.9747</v>
      </c>
      <c r="R247" s="13" t="s">
        <v>2756</v>
      </c>
      <c r="S247" s="13" t="s">
        <v>50</v>
      </c>
      <c r="T247" s="14" t="s">
        <v>2754</v>
      </c>
      <c r="U247" s="13" t="s">
        <v>2753</v>
      </c>
      <c r="V247" s="19" t="s">
        <v>2759</v>
      </c>
      <c r="W247" s="19" t="s">
        <v>2760</v>
      </c>
      <c r="X247" s="19" t="s">
        <v>2761</v>
      </c>
      <c r="Y247" s="19" t="s">
        <v>2762</v>
      </c>
      <c r="Z247" s="20" t="s">
        <v>40</v>
      </c>
      <c r="AA247" s="2"/>
      <c r="AB247" s="2"/>
      <c r="AC247" s="2"/>
      <c r="AD247" s="2"/>
      <c r="AE247" s="2"/>
      <c r="AF247" s="2"/>
    </row>
    <row r="248" ht="22.5" customHeight="1">
      <c r="A248" s="3">
        <v>46027.66498743056</v>
      </c>
      <c r="B248" s="4" t="s">
        <v>1231</v>
      </c>
      <c r="C248" s="4" t="s">
        <v>1231</v>
      </c>
      <c r="D248" s="5" t="s">
        <v>1232</v>
      </c>
      <c r="E248" s="4" t="str">
        <f t="shared" si="1"/>
        <v>+923276885181</v>
      </c>
      <c r="F248" s="4" t="s">
        <v>2763</v>
      </c>
      <c r="G248" s="4" t="s">
        <v>1233</v>
      </c>
      <c r="H248" s="8">
        <v>3.530135530178E12</v>
      </c>
      <c r="I248" s="8">
        <v>3.530135530178E12</v>
      </c>
      <c r="J248" s="21" t="str">
        <f>IFERROR(__xludf.DUMMYFUNCTION("TEXT(REGEXREPLACE(I248, ""[^0-9]"", """"), ""00000-0000000-0"")"),"#VALUE!")</f>
        <v>#VALUE!</v>
      </c>
      <c r="K248" s="7">
        <v>38545.0</v>
      </c>
      <c r="L248" s="4" t="s">
        <v>31</v>
      </c>
      <c r="M248" s="4" t="s">
        <v>2764</v>
      </c>
      <c r="N248" s="4" t="s">
        <v>383</v>
      </c>
      <c r="O248" s="8">
        <v>8011666.0</v>
      </c>
      <c r="P248" s="8">
        <v>123.0</v>
      </c>
      <c r="Q248" s="9">
        <v>94.03</v>
      </c>
      <c r="R248" s="4" t="s">
        <v>1233</v>
      </c>
      <c r="S248" s="4" t="s">
        <v>50</v>
      </c>
      <c r="T248" s="5" t="s">
        <v>2765</v>
      </c>
      <c r="U248" s="4" t="s">
        <v>1231</v>
      </c>
      <c r="V248" s="10" t="s">
        <v>2766</v>
      </c>
      <c r="W248" s="10" t="s">
        <v>2767</v>
      </c>
      <c r="X248" s="10" t="s">
        <v>2768</v>
      </c>
      <c r="Y248" s="10" t="s">
        <v>2769</v>
      </c>
      <c r="Z248" s="11" t="s">
        <v>40</v>
      </c>
      <c r="AA248" s="2"/>
      <c r="AB248" s="2"/>
      <c r="AC248" s="2"/>
      <c r="AD248" s="2"/>
      <c r="AE248" s="2"/>
      <c r="AF248" s="2"/>
    </row>
    <row r="249" ht="22.5" customHeight="1">
      <c r="A249" s="12">
        <v>46027.67701252315</v>
      </c>
      <c r="B249" s="13" t="s">
        <v>1040</v>
      </c>
      <c r="C249" s="13" t="s">
        <v>1040</v>
      </c>
      <c r="D249" s="14" t="s">
        <v>1041</v>
      </c>
      <c r="E249" s="13" t="str">
        <f t="shared" si="1"/>
        <v>+923061658405</v>
      </c>
      <c r="F249" s="13" t="s">
        <v>1042</v>
      </c>
      <c r="G249" s="13" t="s">
        <v>1043</v>
      </c>
      <c r="H249" s="13" t="s">
        <v>1044</v>
      </c>
      <c r="I249" s="13" t="s">
        <v>1044</v>
      </c>
      <c r="J249" s="15" t="str">
        <f>IFERROR(__xludf.DUMMYFUNCTION("TEXT(REGEXREPLACE(I249, ""[^0-9]"", """"), ""00000-0000000-0"")"),"33104-9041870-0")</f>
        <v>33104-9041870-0</v>
      </c>
      <c r="K249" s="16">
        <v>38932.0</v>
      </c>
      <c r="L249" s="13" t="s">
        <v>31</v>
      </c>
      <c r="M249" s="13" t="s">
        <v>2770</v>
      </c>
      <c r="N249" s="13" t="s">
        <v>33</v>
      </c>
      <c r="O249" s="17">
        <v>2011100.0</v>
      </c>
      <c r="P249" s="17">
        <v>95.0</v>
      </c>
      <c r="Q249" s="18">
        <v>94.0</v>
      </c>
      <c r="R249" s="13" t="s">
        <v>1043</v>
      </c>
      <c r="S249" s="13" t="s">
        <v>50</v>
      </c>
      <c r="T249" s="14" t="s">
        <v>2771</v>
      </c>
      <c r="U249" s="13" t="s">
        <v>1047</v>
      </c>
      <c r="V249" s="19" t="s">
        <v>2772</v>
      </c>
      <c r="W249" s="19" t="s">
        <v>2773</v>
      </c>
      <c r="X249" s="19" t="s">
        <v>2774</v>
      </c>
      <c r="Y249" s="19" t="s">
        <v>2775</v>
      </c>
      <c r="Z249" s="20" t="s">
        <v>40</v>
      </c>
      <c r="AA249" s="2"/>
      <c r="AB249" s="2"/>
      <c r="AC249" s="2"/>
      <c r="AD249" s="2"/>
      <c r="AE249" s="2"/>
      <c r="AF249" s="2"/>
    </row>
    <row r="250" ht="22.5" customHeight="1">
      <c r="A250" s="3">
        <v>46027.68825314815</v>
      </c>
      <c r="B250" s="4" t="s">
        <v>663</v>
      </c>
      <c r="C250" s="4" t="s">
        <v>663</v>
      </c>
      <c r="D250" s="5" t="s">
        <v>664</v>
      </c>
      <c r="E250" s="4" t="str">
        <f t="shared" si="1"/>
        <v>+923187103344</v>
      </c>
      <c r="F250" s="4" t="s">
        <v>665</v>
      </c>
      <c r="G250" s="4" t="s">
        <v>666</v>
      </c>
      <c r="H250" s="8">
        <v>3.310248006572E12</v>
      </c>
      <c r="I250" s="8">
        <v>3.310248006572E12</v>
      </c>
      <c r="J250" s="21" t="str">
        <f>IFERROR(__xludf.DUMMYFUNCTION("TEXT(REGEXREPLACE(I250, ""[^0-9]"", """"), ""00000-0000000-0"")"),"#VALUE!")</f>
        <v>#VALUE!</v>
      </c>
      <c r="K250" s="7">
        <v>37208.0</v>
      </c>
      <c r="L250" s="4" t="s">
        <v>31</v>
      </c>
      <c r="M250" s="4" t="s">
        <v>2776</v>
      </c>
      <c r="N250" s="4" t="s">
        <v>33</v>
      </c>
      <c r="O250" s="8">
        <v>2014009.0</v>
      </c>
      <c r="P250" s="8">
        <v>152.0</v>
      </c>
      <c r="Q250" s="9">
        <v>93.9773</v>
      </c>
      <c r="R250" s="4" t="s">
        <v>2777</v>
      </c>
      <c r="S250" s="4" t="s">
        <v>95</v>
      </c>
      <c r="T250" s="5" t="s">
        <v>669</v>
      </c>
      <c r="U250" s="4" t="s">
        <v>2778</v>
      </c>
      <c r="V250" s="10" t="s">
        <v>2779</v>
      </c>
      <c r="W250" s="10" t="s">
        <v>2780</v>
      </c>
      <c r="X250" s="10" t="s">
        <v>2781</v>
      </c>
      <c r="Y250" s="10" t="s">
        <v>2782</v>
      </c>
      <c r="Z250" s="11" t="s">
        <v>40</v>
      </c>
      <c r="AA250" s="2"/>
      <c r="AB250" s="2"/>
      <c r="AC250" s="2"/>
      <c r="AD250" s="2"/>
      <c r="AE250" s="2"/>
      <c r="AF250" s="2"/>
    </row>
    <row r="251" ht="22.5" customHeight="1">
      <c r="A251" s="12">
        <v>46027.689397002316</v>
      </c>
      <c r="B251" s="13" t="s">
        <v>2783</v>
      </c>
      <c r="C251" s="13" t="s">
        <v>2783</v>
      </c>
      <c r="D251" s="14" t="s">
        <v>2784</v>
      </c>
      <c r="E251" s="13" t="str">
        <f t="shared" si="1"/>
        <v>+923244200557</v>
      </c>
      <c r="F251" s="13" t="s">
        <v>2785</v>
      </c>
      <c r="G251" s="13" t="s">
        <v>443</v>
      </c>
      <c r="H251" s="17">
        <v>3.530283665467E12</v>
      </c>
      <c r="I251" s="17">
        <v>3.530283665467E12</v>
      </c>
      <c r="J251" s="22" t="str">
        <f>IFERROR(__xludf.DUMMYFUNCTION("TEXT(REGEXREPLACE(I251, ""[^0-9]"", """"), ""00000-0000000-0"")"),"#VALUE!")</f>
        <v>#VALUE!</v>
      </c>
      <c r="K251" s="16">
        <v>39644.0</v>
      </c>
      <c r="L251" s="13" t="s">
        <v>46</v>
      </c>
      <c r="M251" s="13" t="s">
        <v>2786</v>
      </c>
      <c r="N251" s="13" t="s">
        <v>33</v>
      </c>
      <c r="O251" s="17">
        <v>8070362.0</v>
      </c>
      <c r="P251" s="17">
        <v>175.0</v>
      </c>
      <c r="Q251" s="18">
        <v>93.9303</v>
      </c>
      <c r="R251" s="13" t="s">
        <v>443</v>
      </c>
      <c r="S251" s="13" t="s">
        <v>34</v>
      </c>
      <c r="T251" s="14" t="s">
        <v>2787</v>
      </c>
      <c r="U251" s="23"/>
      <c r="V251" s="19" t="s">
        <v>2788</v>
      </c>
      <c r="W251" s="19" t="s">
        <v>2789</v>
      </c>
      <c r="X251" s="19" t="s">
        <v>2790</v>
      </c>
      <c r="Y251" s="19" t="s">
        <v>2791</v>
      </c>
      <c r="Z251" s="20" t="s">
        <v>40</v>
      </c>
      <c r="AA251" s="2"/>
      <c r="AB251" s="2"/>
      <c r="AC251" s="2"/>
      <c r="AD251" s="2"/>
      <c r="AE251" s="2"/>
      <c r="AF251" s="2"/>
    </row>
    <row r="252" ht="22.5" customHeight="1">
      <c r="A252" s="3">
        <v>46027.693673483795</v>
      </c>
      <c r="B252" s="4" t="s">
        <v>2792</v>
      </c>
      <c r="C252" s="4" t="s">
        <v>2793</v>
      </c>
      <c r="D252" s="5" t="s">
        <v>2794</v>
      </c>
      <c r="E252" s="4" t="str">
        <f t="shared" si="1"/>
        <v>+923098657929</v>
      </c>
      <c r="F252" s="4" t="s">
        <v>2795</v>
      </c>
      <c r="G252" s="4" t="s">
        <v>2796</v>
      </c>
      <c r="H252" s="8">
        <v>3.310275386857E12</v>
      </c>
      <c r="I252" s="8">
        <v>3.310275386857E12</v>
      </c>
      <c r="J252" s="21" t="str">
        <f>IFERROR(__xludf.DUMMYFUNCTION("TEXT(REGEXREPLACE(I252, ""[^0-9]"", """"), ""00000-0000000-0"")"),"#VALUE!")</f>
        <v>#VALUE!</v>
      </c>
      <c r="K252" s="7">
        <v>38574.0</v>
      </c>
      <c r="L252" s="4" t="s">
        <v>46</v>
      </c>
      <c r="M252" s="4" t="s">
        <v>2797</v>
      </c>
      <c r="N252" s="4" t="s">
        <v>33</v>
      </c>
      <c r="O252" s="8">
        <v>2070920.0</v>
      </c>
      <c r="P252" s="8">
        <v>51.0</v>
      </c>
      <c r="Q252" s="9">
        <v>94.3545</v>
      </c>
      <c r="R252" s="4" t="s">
        <v>2798</v>
      </c>
      <c r="S252" s="4" t="s">
        <v>50</v>
      </c>
      <c r="T252" s="5" t="s">
        <v>2799</v>
      </c>
      <c r="U252" s="4" t="s">
        <v>2793</v>
      </c>
      <c r="V252" s="10" t="s">
        <v>2800</v>
      </c>
      <c r="W252" s="10" t="s">
        <v>2801</v>
      </c>
      <c r="X252" s="10" t="s">
        <v>2802</v>
      </c>
      <c r="Y252" s="10" t="s">
        <v>2803</v>
      </c>
      <c r="Z252" s="11" t="s">
        <v>40</v>
      </c>
      <c r="AA252" s="2"/>
      <c r="AB252" s="2"/>
      <c r="AC252" s="2"/>
      <c r="AD252" s="2"/>
      <c r="AE252" s="2"/>
      <c r="AF252" s="2"/>
    </row>
    <row r="253" ht="22.5" customHeight="1">
      <c r="A253" s="12">
        <v>46027.7215877662</v>
      </c>
      <c r="B253" s="13" t="s">
        <v>2804</v>
      </c>
      <c r="C253" s="13" t="s">
        <v>2804</v>
      </c>
      <c r="D253" s="14" t="s">
        <v>2805</v>
      </c>
      <c r="E253" s="13" t="str">
        <f t="shared" si="1"/>
        <v>+923127378988</v>
      </c>
      <c r="F253" s="13" t="s">
        <v>2806</v>
      </c>
      <c r="G253" s="13" t="s">
        <v>2807</v>
      </c>
      <c r="H253" s="13" t="s">
        <v>2808</v>
      </c>
      <c r="I253" s="13" t="s">
        <v>2808</v>
      </c>
      <c r="J253" s="15" t="str">
        <f>IFERROR(__xludf.DUMMYFUNCTION("TEXT(REGEXREPLACE(I253, ""[^0-9]"", """"), ""00000-0000000-0"")"),"34101-7332764-7")</f>
        <v>34101-7332764-7</v>
      </c>
      <c r="K253" s="16">
        <v>38748.0</v>
      </c>
      <c r="L253" s="13" t="s">
        <v>46</v>
      </c>
      <c r="M253" s="13" t="s">
        <v>2809</v>
      </c>
      <c r="N253" s="13" t="s">
        <v>33</v>
      </c>
      <c r="O253" s="17">
        <v>4070115.0</v>
      </c>
      <c r="P253" s="17">
        <v>215.0</v>
      </c>
      <c r="Q253" s="18">
        <v>93.8848</v>
      </c>
      <c r="R253" s="13" t="s">
        <v>2807</v>
      </c>
      <c r="S253" s="13" t="s">
        <v>34</v>
      </c>
      <c r="T253" s="14" t="s">
        <v>2810</v>
      </c>
      <c r="U253" s="13" t="s">
        <v>2811</v>
      </c>
      <c r="V253" s="19" t="s">
        <v>2812</v>
      </c>
      <c r="W253" s="19" t="s">
        <v>2813</v>
      </c>
      <c r="X253" s="19" t="s">
        <v>2814</v>
      </c>
      <c r="Y253" s="19" t="s">
        <v>2815</v>
      </c>
      <c r="Z253" s="20" t="s">
        <v>40</v>
      </c>
      <c r="AA253" s="2"/>
      <c r="AB253" s="2"/>
      <c r="AC253" s="2"/>
      <c r="AD253" s="2"/>
      <c r="AE253" s="2"/>
      <c r="AF253" s="2"/>
    </row>
    <row r="254" ht="22.5" customHeight="1">
      <c r="A254" s="3">
        <v>46027.73374144676</v>
      </c>
      <c r="B254" s="4" t="s">
        <v>2639</v>
      </c>
      <c r="C254" s="4" t="s">
        <v>2639</v>
      </c>
      <c r="D254" s="5" t="s">
        <v>2640</v>
      </c>
      <c r="E254" s="4" t="str">
        <f t="shared" si="1"/>
        <v>+923237296594</v>
      </c>
      <c r="F254" s="4" t="s">
        <v>2641</v>
      </c>
      <c r="G254" s="4" t="s">
        <v>2816</v>
      </c>
      <c r="H254" s="4" t="s">
        <v>2643</v>
      </c>
      <c r="I254" s="4" t="s">
        <v>2643</v>
      </c>
      <c r="J254" s="6" t="str">
        <f>IFERROR(__xludf.DUMMYFUNCTION("TEXT(REGEXREPLACE(I254, ""[^0-9]"", """"), ""00000-0000000-0"")"),"33102-6425177-0")</f>
        <v>33102-6425177-0</v>
      </c>
      <c r="K254" s="7">
        <v>40005.0</v>
      </c>
      <c r="L254" s="4" t="s">
        <v>31</v>
      </c>
      <c r="M254" s="4" t="s">
        <v>2644</v>
      </c>
      <c r="N254" s="4" t="s">
        <v>33</v>
      </c>
      <c r="O254" s="8">
        <v>2012854.0</v>
      </c>
      <c r="P254" s="8">
        <v>191.0</v>
      </c>
      <c r="Q254" s="9">
        <v>92.7778</v>
      </c>
      <c r="R254" s="4" t="s">
        <v>2817</v>
      </c>
      <c r="S254" s="4" t="s">
        <v>50</v>
      </c>
      <c r="T254" s="5" t="s">
        <v>2818</v>
      </c>
      <c r="U254" s="4" t="s">
        <v>2647</v>
      </c>
      <c r="V254" s="10" t="s">
        <v>2819</v>
      </c>
      <c r="W254" s="10" t="s">
        <v>2820</v>
      </c>
      <c r="X254" s="10" t="s">
        <v>2821</v>
      </c>
      <c r="Y254" s="10" t="s">
        <v>2822</v>
      </c>
      <c r="Z254" s="11" t="s">
        <v>40</v>
      </c>
      <c r="AA254" s="2"/>
      <c r="AB254" s="2"/>
      <c r="AC254" s="2"/>
      <c r="AD254" s="2"/>
      <c r="AE254" s="2"/>
      <c r="AF254" s="2"/>
    </row>
    <row r="255" ht="22.5" customHeight="1">
      <c r="A255" s="12">
        <v>46027.73464971065</v>
      </c>
      <c r="B255" s="13" t="s">
        <v>2269</v>
      </c>
      <c r="C255" s="13" t="s">
        <v>2269</v>
      </c>
      <c r="D255" s="14" t="s">
        <v>2270</v>
      </c>
      <c r="E255" s="13" t="str">
        <f t="shared" si="1"/>
        <v>+923191732759</v>
      </c>
      <c r="F255" s="13" t="s">
        <v>2271</v>
      </c>
      <c r="G255" s="13" t="s">
        <v>2272</v>
      </c>
      <c r="H255" s="13" t="s">
        <v>2823</v>
      </c>
      <c r="I255" s="13" t="s">
        <v>2823</v>
      </c>
      <c r="J255" s="15" t="str">
        <f>IFERROR(__xludf.DUMMYFUNCTION("TEXT(REGEXREPLACE(I255, ""[^0-9]"", """"), ""00000-0000000-0"")"),"33100-7136665-0")</f>
        <v>33100-7136665-0</v>
      </c>
      <c r="K255" s="16">
        <v>38699.0</v>
      </c>
      <c r="L255" s="13" t="s">
        <v>31</v>
      </c>
      <c r="M255" s="13" t="s">
        <v>2824</v>
      </c>
      <c r="N255" s="13" t="s">
        <v>33</v>
      </c>
      <c r="O255" s="17">
        <v>2011888.0</v>
      </c>
      <c r="P255" s="17">
        <v>137.0</v>
      </c>
      <c r="Q255" s="18">
        <v>94.0045</v>
      </c>
      <c r="R255" s="13" t="s">
        <v>2272</v>
      </c>
      <c r="S255" s="13" t="s">
        <v>34</v>
      </c>
      <c r="T255" s="14" t="s">
        <v>2275</v>
      </c>
      <c r="U255" s="13" t="s">
        <v>2276</v>
      </c>
      <c r="V255" s="19" t="s">
        <v>2825</v>
      </c>
      <c r="W255" s="19" t="s">
        <v>2826</v>
      </c>
      <c r="X255" s="19" t="s">
        <v>2827</v>
      </c>
      <c r="Y255" s="19" t="s">
        <v>2828</v>
      </c>
      <c r="Z255" s="20" t="s">
        <v>40</v>
      </c>
      <c r="AA255" s="2"/>
      <c r="AB255" s="2"/>
      <c r="AC255" s="2"/>
      <c r="AD255" s="2"/>
      <c r="AE255" s="2"/>
      <c r="AF255" s="2"/>
    </row>
    <row r="256" ht="22.5" customHeight="1">
      <c r="A256" s="3">
        <v>46027.75233341435</v>
      </c>
      <c r="B256" s="4" t="s">
        <v>2829</v>
      </c>
      <c r="C256" s="4" t="s">
        <v>2829</v>
      </c>
      <c r="D256" s="5" t="s">
        <v>2830</v>
      </c>
      <c r="E256" s="4" t="str">
        <f t="shared" si="1"/>
        <v>+923083852784</v>
      </c>
      <c r="F256" s="4" t="s">
        <v>2831</v>
      </c>
      <c r="G256" s="4" t="s">
        <v>2832</v>
      </c>
      <c r="H256" s="8">
        <v>3.220225433415E12</v>
      </c>
      <c r="I256" s="8">
        <v>3.220225433415E12</v>
      </c>
      <c r="J256" s="21" t="str">
        <f>IFERROR(__xludf.DUMMYFUNCTION("TEXT(REGEXREPLACE(I256, ""[^0-9]"", """"), ""00000-0000000-0"")"),"#VALUE!")</f>
        <v>#VALUE!</v>
      </c>
      <c r="K256" s="7">
        <v>38353.0</v>
      </c>
      <c r="L256" s="4" t="s">
        <v>46</v>
      </c>
      <c r="M256" s="4" t="s">
        <v>2833</v>
      </c>
      <c r="N256" s="4" t="s">
        <v>33</v>
      </c>
      <c r="O256" s="8">
        <v>9077341.0</v>
      </c>
      <c r="P256" s="8">
        <v>272.0</v>
      </c>
      <c r="Q256" s="9">
        <v>93.8111</v>
      </c>
      <c r="R256" s="4" t="s">
        <v>2834</v>
      </c>
      <c r="S256" s="4" t="s">
        <v>2835</v>
      </c>
      <c r="T256" s="5" t="s">
        <v>2836</v>
      </c>
      <c r="U256" s="4" t="s">
        <v>2837</v>
      </c>
      <c r="V256" s="10" t="s">
        <v>2838</v>
      </c>
      <c r="W256" s="10" t="s">
        <v>2839</v>
      </c>
      <c r="X256" s="10" t="s">
        <v>2840</v>
      </c>
      <c r="Y256" s="10" t="s">
        <v>2841</v>
      </c>
      <c r="Z256" s="11" t="s">
        <v>40</v>
      </c>
      <c r="AA256" s="2"/>
      <c r="AB256" s="2"/>
      <c r="AC256" s="2"/>
      <c r="AD256" s="2"/>
      <c r="AE256" s="2"/>
      <c r="AF256" s="2"/>
    </row>
    <row r="257" ht="22.5" customHeight="1">
      <c r="A257" s="12">
        <v>46027.75383583333</v>
      </c>
      <c r="B257" s="13" t="s">
        <v>2842</v>
      </c>
      <c r="C257" s="13" t="s">
        <v>2842</v>
      </c>
      <c r="D257" s="14" t="s">
        <v>2843</v>
      </c>
      <c r="E257" s="13" t="str">
        <f t="shared" si="1"/>
        <v>+923114282059</v>
      </c>
      <c r="F257" s="13" t="s">
        <v>2844</v>
      </c>
      <c r="G257" s="13" t="s">
        <v>2845</v>
      </c>
      <c r="H257" s="13" t="s">
        <v>2846</v>
      </c>
      <c r="I257" s="13" t="s">
        <v>2846</v>
      </c>
      <c r="J257" s="15" t="str">
        <f>IFERROR(__xludf.DUMMYFUNCTION("TEXT(REGEXREPLACE(I257, ""[^0-9]"", """"), ""00000-0000000-0"")"),"33105-4441219-7")</f>
        <v>33105-4441219-7</v>
      </c>
      <c r="K257" s="16">
        <v>39511.0</v>
      </c>
      <c r="L257" s="13" t="s">
        <v>46</v>
      </c>
      <c r="M257" s="13" t="s">
        <v>2847</v>
      </c>
      <c r="N257" s="13" t="s">
        <v>48</v>
      </c>
      <c r="O257" s="17">
        <v>2090331.0</v>
      </c>
      <c r="P257" s="14" t="s">
        <v>2848</v>
      </c>
      <c r="Q257" s="18">
        <v>0.9444</v>
      </c>
      <c r="R257" s="13" t="s">
        <v>2845</v>
      </c>
      <c r="S257" s="13" t="s">
        <v>50</v>
      </c>
      <c r="T257" s="14" t="s">
        <v>2849</v>
      </c>
      <c r="U257" s="13" t="s">
        <v>2850</v>
      </c>
      <c r="V257" s="19" t="s">
        <v>2851</v>
      </c>
      <c r="W257" s="19" t="s">
        <v>2852</v>
      </c>
      <c r="X257" s="19" t="s">
        <v>2853</v>
      </c>
      <c r="Y257" s="19" t="s">
        <v>2854</v>
      </c>
      <c r="Z257" s="20" t="s">
        <v>40</v>
      </c>
      <c r="AA257" s="2"/>
      <c r="AB257" s="2"/>
      <c r="AC257" s="2"/>
      <c r="AD257" s="2"/>
      <c r="AE257" s="2"/>
      <c r="AF257" s="2"/>
    </row>
    <row r="258" ht="22.5" customHeight="1">
      <c r="A258" s="3">
        <v>46027.76252546297</v>
      </c>
      <c r="B258" s="4" t="s">
        <v>2855</v>
      </c>
      <c r="C258" s="4" t="s">
        <v>2855</v>
      </c>
      <c r="D258" s="5" t="s">
        <v>2856</v>
      </c>
      <c r="E258" s="4" t="str">
        <f t="shared" si="1"/>
        <v>+923155453220</v>
      </c>
      <c r="F258" s="4" t="s">
        <v>2857</v>
      </c>
      <c r="G258" s="4" t="s">
        <v>2858</v>
      </c>
      <c r="H258" s="8">
        <v>3.220289627013E12</v>
      </c>
      <c r="I258" s="8">
        <v>3.220289627013E12</v>
      </c>
      <c r="J258" s="21" t="str">
        <f>IFERROR(__xludf.DUMMYFUNCTION("TEXT(REGEXREPLACE(I258, ""[^0-9]"", """"), ""00000-0000000-0"")"),"#VALUE!")</f>
        <v>#VALUE!</v>
      </c>
      <c r="K258" s="7">
        <v>37824.0</v>
      </c>
      <c r="L258" s="4" t="s">
        <v>46</v>
      </c>
      <c r="M258" s="4" t="s">
        <v>2859</v>
      </c>
      <c r="N258" s="4" t="s">
        <v>33</v>
      </c>
      <c r="O258" s="8">
        <v>9072447.0</v>
      </c>
      <c r="P258" s="8">
        <v>277.0</v>
      </c>
      <c r="Q258" s="9">
        <v>93.76</v>
      </c>
      <c r="R258" s="4" t="s">
        <v>2858</v>
      </c>
      <c r="S258" s="4" t="s">
        <v>50</v>
      </c>
      <c r="T258" s="5" t="s">
        <v>2860</v>
      </c>
      <c r="U258" s="4" t="s">
        <v>2861</v>
      </c>
      <c r="V258" s="10" t="s">
        <v>2862</v>
      </c>
      <c r="W258" s="10" t="s">
        <v>2863</v>
      </c>
      <c r="X258" s="10" t="s">
        <v>2864</v>
      </c>
      <c r="Y258" s="10" t="s">
        <v>2865</v>
      </c>
      <c r="Z258" s="11" t="s">
        <v>40</v>
      </c>
      <c r="AA258" s="2"/>
      <c r="AB258" s="2"/>
      <c r="AC258" s="2"/>
      <c r="AD258" s="2"/>
      <c r="AE258" s="2"/>
      <c r="AF258" s="2"/>
    </row>
    <row r="259" ht="22.5" customHeight="1">
      <c r="A259" s="12">
        <v>46027.764723263885</v>
      </c>
      <c r="B259" s="13" t="s">
        <v>2866</v>
      </c>
      <c r="C259" s="13" t="s">
        <v>2866</v>
      </c>
      <c r="D259" s="13" t="s">
        <v>2867</v>
      </c>
      <c r="E259" s="13" t="str">
        <f t="shared" si="1"/>
        <v>+923087128154</v>
      </c>
      <c r="F259" s="13" t="s">
        <v>2868</v>
      </c>
      <c r="G259" s="13" t="s">
        <v>2869</v>
      </c>
      <c r="H259" s="13" t="s">
        <v>2870</v>
      </c>
      <c r="I259" s="13" t="s">
        <v>2870</v>
      </c>
      <c r="J259" s="15" t="str">
        <f>IFERROR(__xludf.DUMMYFUNCTION("TEXT(REGEXREPLACE(I259, ""[^0-9]"", """"), ""00000-0000000-0"")"),"33102-2542267-2")</f>
        <v>33102-2542267-2</v>
      </c>
      <c r="K259" s="16">
        <v>38952.0</v>
      </c>
      <c r="L259" s="13" t="s">
        <v>31</v>
      </c>
      <c r="M259" s="13" t="s">
        <v>2871</v>
      </c>
      <c r="N259" s="13" t="s">
        <v>93</v>
      </c>
      <c r="O259" s="17">
        <v>2011193.0</v>
      </c>
      <c r="P259" s="17">
        <v>239.0</v>
      </c>
      <c r="Q259" s="18">
        <v>95.0</v>
      </c>
      <c r="R259" s="13" t="s">
        <v>2869</v>
      </c>
      <c r="S259" s="13" t="s">
        <v>50</v>
      </c>
      <c r="T259" s="13" t="s">
        <v>2872</v>
      </c>
      <c r="U259" s="13" t="s">
        <v>2866</v>
      </c>
      <c r="V259" s="19" t="s">
        <v>2873</v>
      </c>
      <c r="W259" s="19" t="s">
        <v>2874</v>
      </c>
      <c r="X259" s="19" t="s">
        <v>2875</v>
      </c>
      <c r="Y259" s="19" t="s">
        <v>2876</v>
      </c>
      <c r="Z259" s="20" t="s">
        <v>40</v>
      </c>
      <c r="AA259" s="2"/>
      <c r="AB259" s="2"/>
      <c r="AC259" s="2"/>
      <c r="AD259" s="2"/>
      <c r="AE259" s="2"/>
      <c r="AF259" s="2"/>
    </row>
    <row r="260" ht="22.5" customHeight="1">
      <c r="A260" s="3">
        <v>46027.79131777778</v>
      </c>
      <c r="B260" s="4" t="s">
        <v>2877</v>
      </c>
      <c r="C260" s="4" t="s">
        <v>2877</v>
      </c>
      <c r="D260" s="5" t="s">
        <v>2878</v>
      </c>
      <c r="E260" s="4" t="str">
        <f t="shared" si="1"/>
        <v>+923036320539</v>
      </c>
      <c r="F260" s="4" t="s">
        <v>2879</v>
      </c>
      <c r="G260" s="4" t="s">
        <v>2880</v>
      </c>
      <c r="H260" s="8">
        <v>3.220324027047E12</v>
      </c>
      <c r="I260" s="8">
        <v>3.220324027047E12</v>
      </c>
      <c r="J260" s="21" t="str">
        <f>IFERROR(__xludf.DUMMYFUNCTION("TEXT(REGEXREPLACE(I260, ""[^0-9]"", """"), ""00000-0000000-0"")"),"#VALUE!")</f>
        <v>#VALUE!</v>
      </c>
      <c r="K260" s="7">
        <v>39472.0</v>
      </c>
      <c r="L260" s="4" t="s">
        <v>46</v>
      </c>
      <c r="M260" s="4" t="s">
        <v>2881</v>
      </c>
      <c r="N260" s="4" t="s">
        <v>33</v>
      </c>
      <c r="O260" s="8">
        <v>1270797.0</v>
      </c>
      <c r="P260" s="8">
        <v>199.0</v>
      </c>
      <c r="Q260" s="9">
        <v>92.5</v>
      </c>
      <c r="R260" s="4" t="s">
        <v>2882</v>
      </c>
      <c r="S260" s="4" t="s">
        <v>34</v>
      </c>
      <c r="T260" s="5" t="s">
        <v>2883</v>
      </c>
      <c r="U260" s="25"/>
      <c r="V260" s="10" t="s">
        <v>2884</v>
      </c>
      <c r="W260" s="10" t="s">
        <v>2885</v>
      </c>
      <c r="X260" s="10" t="s">
        <v>2886</v>
      </c>
      <c r="Y260" s="10" t="s">
        <v>2887</v>
      </c>
      <c r="Z260" s="11" t="s">
        <v>40</v>
      </c>
      <c r="AA260" s="2"/>
      <c r="AB260" s="2"/>
      <c r="AC260" s="2"/>
      <c r="AD260" s="2"/>
      <c r="AE260" s="2"/>
      <c r="AF260" s="2"/>
    </row>
    <row r="261" ht="22.5" customHeight="1">
      <c r="A261" s="12">
        <v>46027.79628138889</v>
      </c>
      <c r="B261" s="13" t="s">
        <v>2888</v>
      </c>
      <c r="C261" s="13" t="s">
        <v>2888</v>
      </c>
      <c r="D261" s="14" t="s">
        <v>2889</v>
      </c>
      <c r="E261" s="13" t="str">
        <f t="shared" si="1"/>
        <v>+923017858006</v>
      </c>
      <c r="F261" s="13" t="s">
        <v>2890</v>
      </c>
      <c r="G261" s="13" t="s">
        <v>2891</v>
      </c>
      <c r="H261" s="17">
        <v>3.220390449049E12</v>
      </c>
      <c r="I261" s="17">
        <v>3.220390449049E12</v>
      </c>
      <c r="J261" s="22" t="str">
        <f>IFERROR(__xludf.DUMMYFUNCTION("TEXT(REGEXREPLACE(I261, ""[^0-9]"", """"), ""00000-0000000-0"")"),"#VALUE!")</f>
        <v>#VALUE!</v>
      </c>
      <c r="K261" s="16">
        <v>38614.0</v>
      </c>
      <c r="L261" s="13" t="s">
        <v>46</v>
      </c>
      <c r="M261" s="13" t="s">
        <v>2892</v>
      </c>
      <c r="N261" s="13" t="s">
        <v>93</v>
      </c>
      <c r="O261" s="17">
        <v>9070909.0</v>
      </c>
      <c r="P261" s="17">
        <v>275.0</v>
      </c>
      <c r="Q261" s="18">
        <v>93.7909</v>
      </c>
      <c r="R261" s="13" t="s">
        <v>2891</v>
      </c>
      <c r="S261" s="13" t="s">
        <v>34</v>
      </c>
      <c r="T261" s="14" t="s">
        <v>2893</v>
      </c>
      <c r="U261" s="13" t="s">
        <v>2894</v>
      </c>
      <c r="V261" s="19" t="s">
        <v>2895</v>
      </c>
      <c r="W261" s="19" t="s">
        <v>2896</v>
      </c>
      <c r="X261" s="19" t="s">
        <v>2897</v>
      </c>
      <c r="Y261" s="19" t="s">
        <v>2898</v>
      </c>
      <c r="Z261" s="20" t="s">
        <v>40</v>
      </c>
      <c r="AA261" s="2"/>
      <c r="AB261" s="2"/>
      <c r="AC261" s="2"/>
      <c r="AD261" s="2"/>
      <c r="AE261" s="2"/>
      <c r="AF261" s="2"/>
    </row>
    <row r="262" ht="22.5" customHeight="1">
      <c r="A262" s="3">
        <v>46027.797049201385</v>
      </c>
      <c r="B262" s="4" t="s">
        <v>505</v>
      </c>
      <c r="C262" s="4" t="s">
        <v>505</v>
      </c>
      <c r="D262" s="5" t="s">
        <v>506</v>
      </c>
      <c r="E262" s="4" t="str">
        <f t="shared" si="1"/>
        <v>+923047251222</v>
      </c>
      <c r="F262" s="4" t="s">
        <v>507</v>
      </c>
      <c r="G262" s="4" t="s">
        <v>508</v>
      </c>
      <c r="H262" s="4" t="s">
        <v>2899</v>
      </c>
      <c r="I262" s="4" t="s">
        <v>2899</v>
      </c>
      <c r="J262" s="6" t="str">
        <f>IFERROR(__xludf.DUMMYFUNCTION("TEXT(REGEXREPLACE(I262, ""[^0-9]"", """"), ""00000-0000000-0"")"),"33100-1808431-9")</f>
        <v>33100-1808431-9</v>
      </c>
      <c r="K262" s="7">
        <v>38961.0</v>
      </c>
      <c r="L262" s="4" t="s">
        <v>46</v>
      </c>
      <c r="M262" s="4" t="s">
        <v>2900</v>
      </c>
      <c r="N262" s="4" t="s">
        <v>33</v>
      </c>
      <c r="O262" s="8">
        <v>2090753.0</v>
      </c>
      <c r="P262" s="8">
        <v>20.0</v>
      </c>
      <c r="Q262" s="9">
        <v>94.7283</v>
      </c>
      <c r="R262" s="4" t="s">
        <v>508</v>
      </c>
      <c r="S262" s="4" t="s">
        <v>34</v>
      </c>
      <c r="T262" s="5" t="s">
        <v>511</v>
      </c>
      <c r="U262" s="4" t="s">
        <v>512</v>
      </c>
      <c r="V262" s="10" t="s">
        <v>2901</v>
      </c>
      <c r="W262" s="10" t="s">
        <v>2902</v>
      </c>
      <c r="X262" s="10" t="s">
        <v>2903</v>
      </c>
      <c r="Y262" s="10" t="s">
        <v>2904</v>
      </c>
      <c r="Z262" s="11" t="s">
        <v>40</v>
      </c>
      <c r="AA262" s="2"/>
      <c r="AB262" s="2"/>
      <c r="AC262" s="2"/>
      <c r="AD262" s="2"/>
      <c r="AE262" s="2"/>
      <c r="AF262" s="2"/>
    </row>
    <row r="263" ht="22.5" customHeight="1">
      <c r="A263" s="12">
        <v>46027.81751940973</v>
      </c>
      <c r="B263" s="13" t="s">
        <v>2905</v>
      </c>
      <c r="C263" s="13" t="s">
        <v>2905</v>
      </c>
      <c r="D263" s="14" t="s">
        <v>2906</v>
      </c>
      <c r="E263" s="13" t="str">
        <f t="shared" si="1"/>
        <v>+923264554646</v>
      </c>
      <c r="F263" s="13" t="s">
        <v>1415</v>
      </c>
      <c r="G263" s="13" t="s">
        <v>2907</v>
      </c>
      <c r="H263" s="13" t="s">
        <v>2908</v>
      </c>
      <c r="I263" s="13" t="s">
        <v>2908</v>
      </c>
      <c r="J263" s="15" t="str">
        <f>IFERROR(__xludf.DUMMYFUNCTION("TEXT(REGEXREPLACE(I263, ""[^0-9]"", """"), ""00000-0000000-0"")"),"34103-3799960-1")</f>
        <v>34103-3799960-1</v>
      </c>
      <c r="K263" s="16">
        <v>39077.0</v>
      </c>
      <c r="L263" s="13" t="s">
        <v>46</v>
      </c>
      <c r="M263" s="13" t="s">
        <v>2909</v>
      </c>
      <c r="N263" s="13" t="s">
        <v>33</v>
      </c>
      <c r="O263" s="17">
        <v>1071542.0</v>
      </c>
      <c r="P263" s="17">
        <v>257.0</v>
      </c>
      <c r="Q263" s="18">
        <v>93.8343</v>
      </c>
      <c r="R263" s="13" t="s">
        <v>2907</v>
      </c>
      <c r="S263" s="13" t="s">
        <v>34</v>
      </c>
      <c r="T263" s="14" t="s">
        <v>2910</v>
      </c>
      <c r="U263" s="23"/>
      <c r="V263" s="19" t="s">
        <v>2911</v>
      </c>
      <c r="W263" s="19" t="s">
        <v>2912</v>
      </c>
      <c r="X263" s="19" t="s">
        <v>2913</v>
      </c>
      <c r="Y263" s="19" t="s">
        <v>2914</v>
      </c>
      <c r="Z263" s="20" t="s">
        <v>40</v>
      </c>
      <c r="AA263" s="2"/>
      <c r="AB263" s="2"/>
      <c r="AC263" s="2"/>
      <c r="AD263" s="2"/>
      <c r="AE263" s="2"/>
      <c r="AF263" s="2"/>
    </row>
    <row r="264" ht="22.5" customHeight="1">
      <c r="A264" s="3">
        <v>46027.84254146991</v>
      </c>
      <c r="B264" s="4" t="s">
        <v>2352</v>
      </c>
      <c r="C264" s="4" t="s">
        <v>2352</v>
      </c>
      <c r="D264" s="5" t="s">
        <v>2353</v>
      </c>
      <c r="E264" s="4" t="str">
        <f t="shared" si="1"/>
        <v>+923214727933</v>
      </c>
      <c r="F264" s="4" t="s">
        <v>2354</v>
      </c>
      <c r="G264" s="4" t="s">
        <v>2915</v>
      </c>
      <c r="H264" s="8">
        <v>3.310214393308E12</v>
      </c>
      <c r="I264" s="8">
        <v>3.310214393308E12</v>
      </c>
      <c r="J264" s="21" t="str">
        <f>IFERROR(__xludf.DUMMYFUNCTION("TEXT(REGEXREPLACE(I264, ""[^0-9]"", """"), ""00000-0000000-0"")"),"#VALUE!")</f>
        <v>#VALUE!</v>
      </c>
      <c r="K264" s="7">
        <v>39060.0</v>
      </c>
      <c r="L264" s="4" t="s">
        <v>31</v>
      </c>
      <c r="M264" s="4" t="s">
        <v>2916</v>
      </c>
      <c r="N264" s="4" t="s">
        <v>33</v>
      </c>
      <c r="O264" s="8">
        <v>2012222.0</v>
      </c>
      <c r="P264" s="8">
        <v>29.0</v>
      </c>
      <c r="Q264" s="9">
        <v>94.5</v>
      </c>
      <c r="R264" s="4" t="s">
        <v>2357</v>
      </c>
      <c r="S264" s="4" t="s">
        <v>778</v>
      </c>
      <c r="T264" s="5" t="s">
        <v>2358</v>
      </c>
      <c r="U264" s="4" t="s">
        <v>2359</v>
      </c>
      <c r="V264" s="10" t="s">
        <v>2917</v>
      </c>
      <c r="W264" s="10" t="s">
        <v>2918</v>
      </c>
      <c r="X264" s="10" t="s">
        <v>2919</v>
      </c>
      <c r="Y264" s="10" t="s">
        <v>2920</v>
      </c>
      <c r="Z264" s="11" t="s">
        <v>40</v>
      </c>
      <c r="AA264" s="2"/>
      <c r="AB264" s="2"/>
      <c r="AC264" s="2"/>
      <c r="AD264" s="2"/>
      <c r="AE264" s="2"/>
      <c r="AF264" s="2"/>
    </row>
    <row r="265" ht="22.5" customHeight="1">
      <c r="A265" s="12">
        <v>46027.84560377315</v>
      </c>
      <c r="B265" s="13" t="s">
        <v>2921</v>
      </c>
      <c r="C265" s="13" t="s">
        <v>2921</v>
      </c>
      <c r="D265" s="13" t="s">
        <v>2922</v>
      </c>
      <c r="E265" s="13" t="str">
        <f t="shared" si="1"/>
        <v>+923261631480</v>
      </c>
      <c r="F265" s="13" t="s">
        <v>2923</v>
      </c>
      <c r="G265" s="13" t="s">
        <v>909</v>
      </c>
      <c r="H265" s="13" t="s">
        <v>2924</v>
      </c>
      <c r="I265" s="13" t="s">
        <v>2924</v>
      </c>
      <c r="J265" s="15" t="str">
        <f>IFERROR(__xludf.DUMMYFUNCTION("TEXT(REGEXREPLACE(I265, ""[^0-9]"", """"), ""00000-0000000-0"")"),"33100-0975510-0")</f>
        <v>33100-0975510-0</v>
      </c>
      <c r="K265" s="16">
        <v>37773.0</v>
      </c>
      <c r="L265" s="13" t="s">
        <v>31</v>
      </c>
      <c r="M265" s="13" t="s">
        <v>2925</v>
      </c>
      <c r="N265" s="13" t="s">
        <v>93</v>
      </c>
      <c r="O265" s="17">
        <v>2014050.0</v>
      </c>
      <c r="P265" s="17">
        <v>68.0</v>
      </c>
      <c r="Q265" s="18">
        <v>0.93</v>
      </c>
      <c r="R265" s="13" t="s">
        <v>2926</v>
      </c>
      <c r="S265" s="13" t="s">
        <v>259</v>
      </c>
      <c r="T265" s="13" t="s">
        <v>2927</v>
      </c>
      <c r="U265" s="13" t="s">
        <v>2928</v>
      </c>
      <c r="V265" s="19" t="s">
        <v>2929</v>
      </c>
      <c r="W265" s="19" t="s">
        <v>2930</v>
      </c>
      <c r="X265" s="19" t="s">
        <v>2931</v>
      </c>
      <c r="Y265" s="19" t="s">
        <v>2932</v>
      </c>
      <c r="Z265" s="20" t="s">
        <v>40</v>
      </c>
      <c r="AA265" s="2"/>
      <c r="AB265" s="2"/>
      <c r="AC265" s="2"/>
      <c r="AD265" s="2"/>
      <c r="AE265" s="2"/>
      <c r="AF265" s="2"/>
    </row>
    <row r="266" ht="22.5" customHeight="1">
      <c r="A266" s="3">
        <v>46027.85881372685</v>
      </c>
      <c r="B266" s="4" t="s">
        <v>1148</v>
      </c>
      <c r="C266" s="4" t="s">
        <v>1148</v>
      </c>
      <c r="D266" s="5" t="s">
        <v>1149</v>
      </c>
      <c r="E266" s="4" t="str">
        <f t="shared" si="1"/>
        <v>+923339693800</v>
      </c>
      <c r="F266" s="4" t="s">
        <v>2933</v>
      </c>
      <c r="G266" s="4" t="s">
        <v>2934</v>
      </c>
      <c r="H266" s="8">
        <v>3.3105065838E12</v>
      </c>
      <c r="I266" s="8">
        <v>3.3105065838E12</v>
      </c>
      <c r="J266" s="21" t="str">
        <f>IFERROR(__xludf.DUMMYFUNCTION("TEXT(REGEXREPLACE(I266, ""[^0-9]"", """"), ""00000-0000000-0"")"),"#VALUE!")</f>
        <v>#VALUE!</v>
      </c>
      <c r="K266" s="7">
        <v>38052.0</v>
      </c>
      <c r="L266" s="4" t="s">
        <v>31</v>
      </c>
      <c r="M266" s="4" t="s">
        <v>2935</v>
      </c>
      <c r="N266" s="4" t="s">
        <v>48</v>
      </c>
      <c r="O266" s="8">
        <v>2012355.0</v>
      </c>
      <c r="P266" s="8">
        <v>36.0</v>
      </c>
      <c r="Q266" s="9">
        <v>94.41</v>
      </c>
      <c r="R266" s="4" t="s">
        <v>2934</v>
      </c>
      <c r="S266" s="4" t="s">
        <v>50</v>
      </c>
      <c r="T266" s="5" t="s">
        <v>1152</v>
      </c>
      <c r="U266" s="4" t="s">
        <v>1153</v>
      </c>
      <c r="V266" s="10" t="s">
        <v>2936</v>
      </c>
      <c r="W266" s="10" t="s">
        <v>2937</v>
      </c>
      <c r="X266" s="10" t="s">
        <v>2938</v>
      </c>
      <c r="Y266" s="10" t="s">
        <v>2939</v>
      </c>
      <c r="Z266" s="11" t="s">
        <v>40</v>
      </c>
      <c r="AA266" s="2"/>
      <c r="AB266" s="2"/>
      <c r="AC266" s="2"/>
      <c r="AD266" s="2"/>
      <c r="AE266" s="2"/>
      <c r="AF266" s="2"/>
    </row>
    <row r="267" ht="22.5" customHeight="1">
      <c r="A267" s="12">
        <v>46027.866573287036</v>
      </c>
      <c r="B267" s="13" t="s">
        <v>2940</v>
      </c>
      <c r="C267" s="13" t="s">
        <v>2940</v>
      </c>
      <c r="D267" s="14" t="s">
        <v>2941</v>
      </c>
      <c r="E267" s="13" t="str">
        <f t="shared" si="1"/>
        <v>+923078547112</v>
      </c>
      <c r="F267" s="13" t="s">
        <v>2942</v>
      </c>
      <c r="G267" s="13" t="s">
        <v>2943</v>
      </c>
      <c r="H267" s="17">
        <v>3.31008686657E12</v>
      </c>
      <c r="I267" s="17">
        <v>3.31008686657E12</v>
      </c>
      <c r="J267" s="22" t="str">
        <f>IFERROR(__xludf.DUMMYFUNCTION("TEXT(REGEXREPLACE(I267, ""[^0-9]"", """"), ""00000-0000000-0"")"),"#VALUE!")</f>
        <v>#VALUE!</v>
      </c>
      <c r="K267" s="16">
        <v>46097.0</v>
      </c>
      <c r="L267" s="13" t="s">
        <v>31</v>
      </c>
      <c r="M267" s="13" t="s">
        <v>2944</v>
      </c>
      <c r="N267" s="13" t="s">
        <v>93</v>
      </c>
      <c r="O267" s="17">
        <v>2011854.0</v>
      </c>
      <c r="P267" s="17">
        <v>13.0</v>
      </c>
      <c r="Q267" s="18">
        <v>94.9182</v>
      </c>
      <c r="R267" s="13" t="s">
        <v>2943</v>
      </c>
      <c r="S267" s="13" t="s">
        <v>34</v>
      </c>
      <c r="T267" s="14" t="s">
        <v>2945</v>
      </c>
      <c r="U267" s="13" t="s">
        <v>2946</v>
      </c>
      <c r="V267" s="19" t="s">
        <v>2947</v>
      </c>
      <c r="W267" s="19" t="s">
        <v>2948</v>
      </c>
      <c r="X267" s="19" t="s">
        <v>2949</v>
      </c>
      <c r="Y267" s="19" t="s">
        <v>2950</v>
      </c>
      <c r="Z267" s="20" t="s">
        <v>40</v>
      </c>
      <c r="AA267" s="2"/>
      <c r="AB267" s="2"/>
      <c r="AC267" s="2"/>
      <c r="AD267" s="2"/>
      <c r="AE267" s="2"/>
      <c r="AF267" s="2"/>
    </row>
    <row r="268" ht="22.5" customHeight="1">
      <c r="A268" s="3">
        <v>46027.88380679398</v>
      </c>
      <c r="B268" s="4" t="s">
        <v>1772</v>
      </c>
      <c r="C268" s="4" t="s">
        <v>1772</v>
      </c>
      <c r="D268" s="4" t="s">
        <v>1773</v>
      </c>
      <c r="E268" s="4" t="str">
        <f t="shared" si="1"/>
        <v>+923070287575</v>
      </c>
      <c r="F268" s="4" t="s">
        <v>1774</v>
      </c>
      <c r="G268" s="4" t="s">
        <v>1775</v>
      </c>
      <c r="H268" s="4" t="s">
        <v>1776</v>
      </c>
      <c r="I268" s="4" t="s">
        <v>1776</v>
      </c>
      <c r="J268" s="6" t="str">
        <f>IFERROR(__xludf.DUMMYFUNCTION("TEXT(REGEXREPLACE(I268, ""[^0-9]"", """"), ""00000-0000000-0"")"),"33104-8747723-4")</f>
        <v>33104-8747723-4</v>
      </c>
      <c r="K268" s="7">
        <v>38557.0</v>
      </c>
      <c r="L268" s="4" t="s">
        <v>31</v>
      </c>
      <c r="M268" s="4" t="s">
        <v>1777</v>
      </c>
      <c r="N268" s="4" t="s">
        <v>33</v>
      </c>
      <c r="O268" s="8">
        <v>2010894.0</v>
      </c>
      <c r="P268" s="8">
        <v>217.0</v>
      </c>
      <c r="Q268" s="9">
        <v>93.88</v>
      </c>
      <c r="R268" s="4" t="s">
        <v>1775</v>
      </c>
      <c r="S268" s="4" t="s">
        <v>34</v>
      </c>
      <c r="T268" s="4" t="s">
        <v>1778</v>
      </c>
      <c r="U268" s="4" t="s">
        <v>1779</v>
      </c>
      <c r="V268" s="10" t="s">
        <v>2951</v>
      </c>
      <c r="W268" s="10" t="s">
        <v>2952</v>
      </c>
      <c r="X268" s="10" t="s">
        <v>2953</v>
      </c>
      <c r="Y268" s="10" t="s">
        <v>2954</v>
      </c>
      <c r="Z268" s="11" t="s">
        <v>40</v>
      </c>
      <c r="AA268" s="2"/>
      <c r="AB268" s="2"/>
      <c r="AC268" s="2"/>
      <c r="AD268" s="2"/>
      <c r="AE268" s="2"/>
      <c r="AF268" s="2"/>
    </row>
    <row r="269" ht="22.5" customHeight="1">
      <c r="A269" s="12">
        <v>46027.97611024306</v>
      </c>
      <c r="B269" s="13" t="s">
        <v>2955</v>
      </c>
      <c r="C269" s="13" t="s">
        <v>2955</v>
      </c>
      <c r="D269" s="14" t="s">
        <v>2956</v>
      </c>
      <c r="E269" s="13" t="str">
        <f t="shared" si="1"/>
        <v>+923099878751</v>
      </c>
      <c r="F269" s="13" t="s">
        <v>2957</v>
      </c>
      <c r="G269" s="13" t="s">
        <v>2958</v>
      </c>
      <c r="H269" s="17">
        <v>3.310277954659E12</v>
      </c>
      <c r="I269" s="17">
        <v>3.310277954659E12</v>
      </c>
      <c r="J269" s="22" t="str">
        <f>IFERROR(__xludf.DUMMYFUNCTION("TEXT(REGEXREPLACE(I269, ""[^0-9]"", """"), ""00000-0000000-0"")"),"#VALUE!")</f>
        <v>#VALUE!</v>
      </c>
      <c r="K269" s="16">
        <v>37439.0</v>
      </c>
      <c r="L269" s="13" t="s">
        <v>46</v>
      </c>
      <c r="M269" s="13" t="s">
        <v>2959</v>
      </c>
      <c r="N269" s="13" t="s">
        <v>33</v>
      </c>
      <c r="O269" s="17">
        <v>2071506.0</v>
      </c>
      <c r="P269" s="17">
        <v>248.0</v>
      </c>
      <c r="Q269" s="18">
        <v>93.84</v>
      </c>
      <c r="R269" s="13" t="s">
        <v>2960</v>
      </c>
      <c r="S269" s="13" t="s">
        <v>95</v>
      </c>
      <c r="T269" s="13" t="s">
        <v>2961</v>
      </c>
      <c r="U269" s="13" t="s">
        <v>2955</v>
      </c>
      <c r="V269" s="19" t="s">
        <v>2962</v>
      </c>
      <c r="W269" s="19" t="s">
        <v>2963</v>
      </c>
      <c r="X269" s="19" t="s">
        <v>2964</v>
      </c>
      <c r="Y269" s="19" t="s">
        <v>2965</v>
      </c>
      <c r="Z269" s="20" t="s">
        <v>40</v>
      </c>
      <c r="AA269" s="2"/>
      <c r="AB269" s="2"/>
      <c r="AC269" s="2"/>
      <c r="AD269" s="2"/>
      <c r="AE269" s="2"/>
      <c r="AF269" s="2"/>
    </row>
    <row r="270" ht="22.5" customHeight="1">
      <c r="A270" s="3">
        <v>46027.98632988426</v>
      </c>
      <c r="B270" s="4" t="s">
        <v>2966</v>
      </c>
      <c r="C270" s="4" t="s">
        <v>2966</v>
      </c>
      <c r="D270" s="5" t="s">
        <v>2967</v>
      </c>
      <c r="E270" s="4" t="str">
        <f t="shared" si="1"/>
        <v>+923274186370</v>
      </c>
      <c r="F270" s="4" t="s">
        <v>2968</v>
      </c>
      <c r="G270" s="4" t="s">
        <v>2969</v>
      </c>
      <c r="H270" s="4" t="s">
        <v>2970</v>
      </c>
      <c r="I270" s="4" t="s">
        <v>2970</v>
      </c>
      <c r="J270" s="6" t="str">
        <f>IFERROR(__xludf.DUMMYFUNCTION("TEXT(REGEXREPLACE(I270, ""[^0-9]"", """"), ""00000-0000000-0"")"),"36104-8026386-3")</f>
        <v>36104-8026386-3</v>
      </c>
      <c r="K270" s="7">
        <v>38901.0</v>
      </c>
      <c r="L270" s="4" t="s">
        <v>46</v>
      </c>
      <c r="M270" s="4" t="s">
        <v>2971</v>
      </c>
      <c r="N270" s="4" t="s">
        <v>33</v>
      </c>
      <c r="O270" s="8">
        <v>9071169.0</v>
      </c>
      <c r="P270" s="8">
        <v>224.0</v>
      </c>
      <c r="Q270" s="9">
        <v>93.0</v>
      </c>
      <c r="R270" s="4" t="s">
        <v>2969</v>
      </c>
      <c r="S270" s="4" t="s">
        <v>34</v>
      </c>
      <c r="T270" s="5" t="s">
        <v>2972</v>
      </c>
      <c r="U270" s="4" t="s">
        <v>2966</v>
      </c>
      <c r="V270" s="10" t="s">
        <v>2973</v>
      </c>
      <c r="W270" s="10" t="s">
        <v>2974</v>
      </c>
      <c r="X270" s="10" t="s">
        <v>2975</v>
      </c>
      <c r="Y270" s="10" t="s">
        <v>2976</v>
      </c>
      <c r="Z270" s="11" t="s">
        <v>40</v>
      </c>
      <c r="AA270" s="2"/>
      <c r="AB270" s="2"/>
      <c r="AC270" s="2"/>
      <c r="AD270" s="2"/>
      <c r="AE270" s="2"/>
      <c r="AF270" s="2"/>
    </row>
    <row r="271" ht="22.5" customHeight="1">
      <c r="A271" s="12">
        <v>46027.99467342593</v>
      </c>
      <c r="B271" s="13" t="s">
        <v>2966</v>
      </c>
      <c r="C271" s="13" t="s">
        <v>2966</v>
      </c>
      <c r="D271" s="14" t="s">
        <v>2967</v>
      </c>
      <c r="E271" s="13" t="str">
        <f t="shared" si="1"/>
        <v>+923274186370</v>
      </c>
      <c r="F271" s="13" t="s">
        <v>2968</v>
      </c>
      <c r="G271" s="13" t="s">
        <v>2977</v>
      </c>
      <c r="H271" s="17">
        <v>3.610480263863E12</v>
      </c>
      <c r="I271" s="17">
        <v>3.610480263863E12</v>
      </c>
      <c r="J271" s="22" t="str">
        <f>IFERROR(__xludf.DUMMYFUNCTION("TEXT(REGEXREPLACE(I271, ""[^0-9]"", """"), ""00000-0000000-0"")"),"#VALUE!")</f>
        <v>#VALUE!</v>
      </c>
      <c r="K271" s="16">
        <v>38901.0</v>
      </c>
      <c r="L271" s="13" t="s">
        <v>46</v>
      </c>
      <c r="M271" s="13" t="s">
        <v>2978</v>
      </c>
      <c r="N271" s="13" t="s">
        <v>33</v>
      </c>
      <c r="O271" s="17">
        <v>9071169.0</v>
      </c>
      <c r="P271" s="17">
        <v>224.0</v>
      </c>
      <c r="Q271" s="18">
        <v>93.0</v>
      </c>
      <c r="R271" s="13" t="s">
        <v>2977</v>
      </c>
      <c r="S271" s="13" t="s">
        <v>50</v>
      </c>
      <c r="T271" s="14" t="s">
        <v>2972</v>
      </c>
      <c r="U271" s="23"/>
      <c r="V271" s="19" t="s">
        <v>2979</v>
      </c>
      <c r="W271" s="19" t="s">
        <v>2980</v>
      </c>
      <c r="X271" s="19" t="s">
        <v>2981</v>
      </c>
      <c r="Y271" s="19" t="s">
        <v>2982</v>
      </c>
      <c r="Z271" s="20" t="s">
        <v>40</v>
      </c>
      <c r="AA271" s="2"/>
      <c r="AB271" s="2"/>
      <c r="AC271" s="2"/>
      <c r="AD271" s="2"/>
      <c r="AE271" s="2"/>
      <c r="AF271" s="2"/>
    </row>
    <row r="272" ht="22.5" customHeight="1">
      <c r="A272" s="3">
        <v>46028.01455607639</v>
      </c>
      <c r="B272" s="4" t="s">
        <v>2983</v>
      </c>
      <c r="C272" s="4" t="s">
        <v>2983</v>
      </c>
      <c r="D272" s="5" t="s">
        <v>2984</v>
      </c>
      <c r="E272" s="4" t="str">
        <f t="shared" si="1"/>
        <v>+923471721076</v>
      </c>
      <c r="F272" s="4" t="s">
        <v>2985</v>
      </c>
      <c r="G272" s="4" t="s">
        <v>838</v>
      </c>
      <c r="H272" s="8">
        <v>3.340204488947E12</v>
      </c>
      <c r="I272" s="8">
        <v>3.340204488947E12</v>
      </c>
      <c r="J272" s="21" t="str">
        <f>IFERROR(__xludf.DUMMYFUNCTION("TEXT(REGEXREPLACE(I272, ""[^0-9]"", """"), ""00000-0000000-0"")"),"#VALUE!")</f>
        <v>#VALUE!</v>
      </c>
      <c r="K272" s="7">
        <v>37778.0</v>
      </c>
      <c r="L272" s="4" t="s">
        <v>46</v>
      </c>
      <c r="M272" s="4" t="s">
        <v>2986</v>
      </c>
      <c r="N272" s="4" t="s">
        <v>48</v>
      </c>
      <c r="O272" s="8">
        <v>1071676.0</v>
      </c>
      <c r="P272" s="8">
        <v>31.0</v>
      </c>
      <c r="Q272" s="9">
        <v>94.5</v>
      </c>
      <c r="R272" s="4" t="s">
        <v>838</v>
      </c>
      <c r="S272" s="4" t="s">
        <v>50</v>
      </c>
      <c r="T272" s="5" t="s">
        <v>2987</v>
      </c>
      <c r="U272" s="4" t="s">
        <v>2988</v>
      </c>
      <c r="V272" s="10" t="s">
        <v>2989</v>
      </c>
      <c r="W272" s="10" t="s">
        <v>2990</v>
      </c>
      <c r="X272" s="10" t="s">
        <v>2991</v>
      </c>
      <c r="Y272" s="10" t="s">
        <v>2992</v>
      </c>
      <c r="Z272" s="11" t="s">
        <v>40</v>
      </c>
      <c r="AA272" s="2"/>
      <c r="AB272" s="2"/>
      <c r="AC272" s="2"/>
      <c r="AD272" s="2"/>
      <c r="AE272" s="2"/>
      <c r="AF272" s="2"/>
    </row>
    <row r="273" ht="22.5" customHeight="1">
      <c r="A273" s="12">
        <v>46028.36911443287</v>
      </c>
      <c r="B273" s="13" t="s">
        <v>2993</v>
      </c>
      <c r="C273" s="13" t="s">
        <v>2993</v>
      </c>
      <c r="D273" s="14" t="s">
        <v>2994</v>
      </c>
      <c r="E273" s="13" t="str">
        <f t="shared" si="1"/>
        <v>+923097023971</v>
      </c>
      <c r="F273" s="13" t="s">
        <v>2995</v>
      </c>
      <c r="G273" s="13" t="s">
        <v>2996</v>
      </c>
      <c r="H273" s="13" t="s">
        <v>2997</v>
      </c>
      <c r="I273" s="13" t="s">
        <v>2997</v>
      </c>
      <c r="J273" s="15" t="str">
        <f>IFERROR(__xludf.DUMMYFUNCTION("TEXT(REGEXREPLACE(I273, ""[^0-9]"", """"), ""00000-0000000-0"")"),"32203-7114914-1")</f>
        <v>32203-7114914-1</v>
      </c>
      <c r="K273" s="16">
        <v>37179.0</v>
      </c>
      <c r="L273" s="13" t="s">
        <v>46</v>
      </c>
      <c r="M273" s="13" t="s">
        <v>2998</v>
      </c>
      <c r="N273" s="13" t="s">
        <v>33</v>
      </c>
      <c r="O273" s="17">
        <v>9072573.0</v>
      </c>
      <c r="P273" s="17">
        <v>209.0</v>
      </c>
      <c r="Q273" s="18">
        <v>93.8909</v>
      </c>
      <c r="R273" s="13" t="s">
        <v>2996</v>
      </c>
      <c r="S273" s="13" t="s">
        <v>50</v>
      </c>
      <c r="T273" s="14" t="s">
        <v>2999</v>
      </c>
      <c r="U273" s="13" t="s">
        <v>3000</v>
      </c>
      <c r="V273" s="19" t="s">
        <v>3001</v>
      </c>
      <c r="W273" s="19" t="s">
        <v>3002</v>
      </c>
      <c r="X273" s="19" t="s">
        <v>3003</v>
      </c>
      <c r="Y273" s="19" t="s">
        <v>3004</v>
      </c>
      <c r="Z273" s="20" t="s">
        <v>40</v>
      </c>
      <c r="AA273" s="2"/>
      <c r="AB273" s="2"/>
      <c r="AC273" s="2"/>
      <c r="AD273" s="2"/>
      <c r="AE273" s="2"/>
      <c r="AF273" s="2"/>
    </row>
    <row r="274" ht="22.5" customHeight="1">
      <c r="A274" s="3">
        <v>46028.384647557876</v>
      </c>
      <c r="B274" s="4" t="s">
        <v>3005</v>
      </c>
      <c r="C274" s="4" t="s">
        <v>3005</v>
      </c>
      <c r="D274" s="5" t="s">
        <v>3006</v>
      </c>
      <c r="E274" s="4" t="str">
        <f t="shared" si="1"/>
        <v>+923271604295</v>
      </c>
      <c r="F274" s="4" t="s">
        <v>3007</v>
      </c>
      <c r="G274" s="4" t="s">
        <v>3008</v>
      </c>
      <c r="H274" s="8">
        <v>3.330175567492E12</v>
      </c>
      <c r="I274" s="8">
        <v>3.330175567492E12</v>
      </c>
      <c r="J274" s="21" t="str">
        <f>IFERROR(__xludf.DUMMYFUNCTION("TEXT(REGEXREPLACE(I274, ""[^0-9]"", """"), ""00000-0000000-0"")"),"#VALUE!")</f>
        <v>#VALUE!</v>
      </c>
      <c r="K274" s="7">
        <v>38061.0</v>
      </c>
      <c r="L274" s="4" t="s">
        <v>31</v>
      </c>
      <c r="M274" s="4" t="s">
        <v>3009</v>
      </c>
      <c r="N274" s="4" t="s">
        <v>33</v>
      </c>
      <c r="O274" s="8">
        <v>2013579.0</v>
      </c>
      <c r="P274" s="8">
        <v>101.0</v>
      </c>
      <c r="Q274" s="9">
        <v>94.1</v>
      </c>
      <c r="R274" s="4" t="s">
        <v>3008</v>
      </c>
      <c r="S274" s="4" t="s">
        <v>34</v>
      </c>
      <c r="T274" s="5" t="s">
        <v>3010</v>
      </c>
      <c r="U274" s="4" t="s">
        <v>3011</v>
      </c>
      <c r="V274" s="10" t="s">
        <v>3012</v>
      </c>
      <c r="W274" s="10" t="s">
        <v>3013</v>
      </c>
      <c r="X274" s="10" t="s">
        <v>3014</v>
      </c>
      <c r="Y274" s="10" t="s">
        <v>3015</v>
      </c>
      <c r="Z274" s="11" t="s">
        <v>40</v>
      </c>
      <c r="AA274" s="2"/>
      <c r="AB274" s="2"/>
      <c r="AC274" s="2"/>
      <c r="AD274" s="2"/>
      <c r="AE274" s="2"/>
      <c r="AF274" s="2"/>
    </row>
    <row r="275" ht="22.5" customHeight="1">
      <c r="A275" s="12">
        <v>46028.40746003472</v>
      </c>
      <c r="B275" s="13" t="s">
        <v>3016</v>
      </c>
      <c r="C275" s="13" t="s">
        <v>3016</v>
      </c>
      <c r="D275" s="14" t="s">
        <v>3017</v>
      </c>
      <c r="E275" s="13" t="str">
        <f t="shared" si="1"/>
        <v>+923194408855</v>
      </c>
      <c r="F275" s="13" t="s">
        <v>3018</v>
      </c>
      <c r="G275" s="13" t="s">
        <v>3019</v>
      </c>
      <c r="H275" s="17">
        <v>3.660190286814E12</v>
      </c>
      <c r="I275" s="17">
        <v>3.660190286814E12</v>
      </c>
      <c r="J275" s="22" t="str">
        <f>IFERROR(__xludf.DUMMYFUNCTION("TEXT(REGEXREPLACE(I275, ""[^0-9]"", """"), ""00000-0000000-0"")"),"#VALUE!")</f>
        <v>#VALUE!</v>
      </c>
      <c r="K275" s="16">
        <v>37803.0</v>
      </c>
      <c r="L275" s="13" t="s">
        <v>31</v>
      </c>
      <c r="M275" s="13" t="s">
        <v>3020</v>
      </c>
      <c r="N275" s="13" t="s">
        <v>33</v>
      </c>
      <c r="O275" s="17">
        <v>1018759.0</v>
      </c>
      <c r="P275" s="17">
        <v>116.0</v>
      </c>
      <c r="Q275" s="18">
        <v>94.0667</v>
      </c>
      <c r="R275" s="13" t="s">
        <v>3021</v>
      </c>
      <c r="S275" s="13" t="s">
        <v>1486</v>
      </c>
      <c r="T275" s="14" t="s">
        <v>3022</v>
      </c>
      <c r="U275" s="13" t="s">
        <v>3016</v>
      </c>
      <c r="V275" s="23"/>
      <c r="W275" s="23"/>
      <c r="X275" s="23"/>
      <c r="Y275" s="23"/>
      <c r="Z275" s="20" t="s">
        <v>40</v>
      </c>
      <c r="AA275" s="2"/>
      <c r="AB275" s="2"/>
      <c r="AC275" s="2"/>
      <c r="AD275" s="2"/>
      <c r="AE275" s="2"/>
      <c r="AF275" s="2"/>
    </row>
    <row r="276" ht="22.5" customHeight="1">
      <c r="A276" s="3">
        <v>46028.50303273148</v>
      </c>
      <c r="B276" s="4" t="s">
        <v>3023</v>
      </c>
      <c r="C276" s="4" t="s">
        <v>3023</v>
      </c>
      <c r="D276" s="5" t="s">
        <v>3024</v>
      </c>
      <c r="E276" s="4" t="str">
        <f t="shared" si="1"/>
        <v>+923166694513</v>
      </c>
      <c r="F276" s="4" t="s">
        <v>3025</v>
      </c>
      <c r="G276" s="4" t="s">
        <v>3026</v>
      </c>
      <c r="H276" s="8">
        <v>3.210403778486E12</v>
      </c>
      <c r="I276" s="8">
        <v>3.210403778486E12</v>
      </c>
      <c r="J276" s="21" t="str">
        <f>IFERROR(__xludf.DUMMYFUNCTION("TEXT(REGEXREPLACE(I276, ""[^0-9]"", """"), ""00000-0000000-0"")"),"#VALUE!")</f>
        <v>#VALUE!</v>
      </c>
      <c r="K276" s="7">
        <v>39503.0</v>
      </c>
      <c r="L276" s="4" t="s">
        <v>31</v>
      </c>
      <c r="M276" s="4" t="s">
        <v>3027</v>
      </c>
      <c r="N276" s="4" t="s">
        <v>48</v>
      </c>
      <c r="O276" s="8">
        <v>1213290.0</v>
      </c>
      <c r="P276" s="8">
        <v>238.0</v>
      </c>
      <c r="Q276" s="9">
        <v>93.8616</v>
      </c>
      <c r="R276" s="4" t="s">
        <v>3028</v>
      </c>
      <c r="S276" s="4" t="s">
        <v>95</v>
      </c>
      <c r="T276" s="5" t="s">
        <v>3029</v>
      </c>
      <c r="U276" s="4" t="s">
        <v>3030</v>
      </c>
      <c r="V276" s="25"/>
      <c r="W276" s="25"/>
      <c r="X276" s="10" t="s">
        <v>3031</v>
      </c>
      <c r="Y276" s="10" t="s">
        <v>3032</v>
      </c>
      <c r="Z276" s="11" t="s">
        <v>40</v>
      </c>
      <c r="AA276" s="2"/>
      <c r="AB276" s="2"/>
      <c r="AC276" s="2"/>
      <c r="AD276" s="2"/>
      <c r="AE276" s="2"/>
      <c r="AF276" s="2"/>
    </row>
    <row r="277" ht="22.5" customHeight="1">
      <c r="A277" s="12">
        <v>46028.50958787037</v>
      </c>
      <c r="B277" s="13" t="s">
        <v>3016</v>
      </c>
      <c r="C277" s="13" t="s">
        <v>3016</v>
      </c>
      <c r="D277" s="14" t="s">
        <v>3017</v>
      </c>
      <c r="E277" s="13" t="str">
        <f t="shared" si="1"/>
        <v>+923194408855</v>
      </c>
      <c r="F277" s="13" t="s">
        <v>3018</v>
      </c>
      <c r="G277" s="13" t="s">
        <v>3019</v>
      </c>
      <c r="H277" s="17">
        <v>3.660190286814E12</v>
      </c>
      <c r="I277" s="17">
        <v>3.660190286814E12</v>
      </c>
      <c r="J277" s="22" t="str">
        <f>IFERROR(__xludf.DUMMYFUNCTION("TEXT(REGEXREPLACE(I277, ""[^0-9]"", """"), ""00000-0000000-0"")"),"#VALUE!")</f>
        <v>#VALUE!</v>
      </c>
      <c r="K277" s="16">
        <v>37803.0</v>
      </c>
      <c r="L277" s="13" t="s">
        <v>31</v>
      </c>
      <c r="M277" s="13" t="s">
        <v>3033</v>
      </c>
      <c r="N277" s="13" t="s">
        <v>48</v>
      </c>
      <c r="O277" s="17">
        <v>1018759.0</v>
      </c>
      <c r="P277" s="17">
        <v>116.0</v>
      </c>
      <c r="Q277" s="18">
        <v>94.0667</v>
      </c>
      <c r="R277" s="13" t="s">
        <v>3034</v>
      </c>
      <c r="S277" s="13" t="s">
        <v>224</v>
      </c>
      <c r="T277" s="14" t="s">
        <v>3022</v>
      </c>
      <c r="U277" s="13" t="s">
        <v>3016</v>
      </c>
      <c r="V277" s="23"/>
      <c r="W277" s="23"/>
      <c r="X277" s="23"/>
      <c r="Y277" s="23"/>
      <c r="Z277" s="20" t="s">
        <v>40</v>
      </c>
      <c r="AA277" s="2"/>
      <c r="AB277" s="2"/>
      <c r="AC277" s="2"/>
      <c r="AD277" s="2"/>
      <c r="AE277" s="2"/>
      <c r="AF277" s="2"/>
    </row>
    <row r="278" ht="22.5" customHeight="1">
      <c r="A278" s="3">
        <v>46028.68249839121</v>
      </c>
      <c r="B278" s="4" t="s">
        <v>1336</v>
      </c>
      <c r="C278" s="4" t="s">
        <v>1336</v>
      </c>
      <c r="D278" s="5" t="s">
        <v>1337</v>
      </c>
      <c r="E278" s="4" t="str">
        <f t="shared" si="1"/>
        <v>+923189838675</v>
      </c>
      <c r="F278" s="4" t="s">
        <v>3035</v>
      </c>
      <c r="G278" s="4" t="s">
        <v>1342</v>
      </c>
      <c r="H278" s="8">
        <v>3.310230842978E12</v>
      </c>
      <c r="I278" s="8">
        <v>3.310230842978E12</v>
      </c>
      <c r="J278" s="21" t="str">
        <f>IFERROR(__xludf.DUMMYFUNCTION("TEXT(REGEXREPLACE(I278, ""[^0-9]"", """"), ""00000-0000000-0"")"),"#VALUE!")</f>
        <v>#VALUE!</v>
      </c>
      <c r="K278" s="7">
        <v>39430.0</v>
      </c>
      <c r="L278" s="4" t="s">
        <v>31</v>
      </c>
      <c r="M278" s="4" t="s">
        <v>1341</v>
      </c>
      <c r="N278" s="4" t="s">
        <v>33</v>
      </c>
      <c r="O278" s="8">
        <v>2011217.0</v>
      </c>
      <c r="P278" s="8">
        <v>2.0</v>
      </c>
      <c r="Q278" s="9">
        <v>95.7758</v>
      </c>
      <c r="R278" s="4" t="s">
        <v>1339</v>
      </c>
      <c r="S278" s="4" t="s">
        <v>34</v>
      </c>
      <c r="T278" s="5" t="s">
        <v>1343</v>
      </c>
      <c r="U278" s="4" t="s">
        <v>1344</v>
      </c>
      <c r="V278" s="10" t="s">
        <v>3036</v>
      </c>
      <c r="W278" s="10" t="s">
        <v>3037</v>
      </c>
      <c r="X278" s="10" t="s">
        <v>3038</v>
      </c>
      <c r="Y278" s="10" t="s">
        <v>3039</v>
      </c>
      <c r="Z278" s="11" t="s">
        <v>40</v>
      </c>
      <c r="AA278" s="2"/>
      <c r="AB278" s="2"/>
      <c r="AC278" s="2"/>
      <c r="AD278" s="2"/>
      <c r="AE278" s="2"/>
      <c r="AF278" s="2"/>
    </row>
    <row r="279" ht="22.5" customHeight="1">
      <c r="A279" s="12">
        <v>46028.833589629634</v>
      </c>
      <c r="B279" s="13" t="s">
        <v>1413</v>
      </c>
      <c r="C279" s="13" t="s">
        <v>1413</v>
      </c>
      <c r="D279" s="14" t="s">
        <v>1414</v>
      </c>
      <c r="E279" s="13" t="str">
        <f t="shared" si="1"/>
        <v>+923427854975</v>
      </c>
      <c r="F279" s="13" t="s">
        <v>900</v>
      </c>
      <c r="G279" s="13" t="s">
        <v>3040</v>
      </c>
      <c r="H279" s="17">
        <v>3.310344195215E12</v>
      </c>
      <c r="I279" s="17">
        <v>3.310344195215E12</v>
      </c>
      <c r="J279" s="22" t="str">
        <f>IFERROR(__xludf.DUMMYFUNCTION("TEXT(REGEXREPLACE(I279, ""[^0-9]"", """"), ""00000-0000000-0"")"),"#VALUE!")</f>
        <v>#VALUE!</v>
      </c>
      <c r="K279" s="16">
        <v>37445.0</v>
      </c>
      <c r="L279" s="13" t="s">
        <v>46</v>
      </c>
      <c r="M279" s="13" t="s">
        <v>3041</v>
      </c>
      <c r="N279" s="13" t="s">
        <v>33</v>
      </c>
      <c r="O279" s="17">
        <v>2071451.0</v>
      </c>
      <c r="P279" s="17">
        <v>147.0</v>
      </c>
      <c r="Q279" s="18">
        <v>95.0</v>
      </c>
      <c r="R279" s="13" t="s">
        <v>3040</v>
      </c>
      <c r="S279" s="13" t="s">
        <v>34</v>
      </c>
      <c r="T279" s="14" t="s">
        <v>1418</v>
      </c>
      <c r="U279" s="13" t="s">
        <v>1413</v>
      </c>
      <c r="V279" s="19" t="s">
        <v>3042</v>
      </c>
      <c r="W279" s="19" t="s">
        <v>3043</v>
      </c>
      <c r="X279" s="19" t="s">
        <v>3044</v>
      </c>
      <c r="Y279" s="19" t="s">
        <v>3045</v>
      </c>
      <c r="Z279" s="20" t="s">
        <v>40</v>
      </c>
      <c r="AA279" s="2"/>
      <c r="AB279" s="2"/>
      <c r="AC279" s="2"/>
      <c r="AD279" s="2"/>
      <c r="AE279" s="2"/>
      <c r="AF279" s="2"/>
    </row>
    <row r="280" ht="22.5" customHeight="1">
      <c r="A280" s="3">
        <v>46028.86794415509</v>
      </c>
      <c r="B280" s="4" t="s">
        <v>3046</v>
      </c>
      <c r="C280" s="4" t="s">
        <v>3046</v>
      </c>
      <c r="D280" s="5" t="s">
        <v>3047</v>
      </c>
      <c r="E280" s="4" t="str">
        <f t="shared" si="1"/>
        <v>+923046769839</v>
      </c>
      <c r="F280" s="4" t="s">
        <v>3048</v>
      </c>
      <c r="G280" s="4" t="s">
        <v>3049</v>
      </c>
      <c r="H280" s="4" t="s">
        <v>3050</v>
      </c>
      <c r="I280" s="4" t="s">
        <v>3050</v>
      </c>
      <c r="J280" s="6" t="str">
        <f>IFERROR(__xludf.DUMMYFUNCTION("TEXT(REGEXREPLACE(I280, ""[^0-9]"", """"), ""00000-0000000-0"")"),"32203-8992417-6")</f>
        <v>32203-8992417-6</v>
      </c>
      <c r="K280" s="7">
        <v>39441.0</v>
      </c>
      <c r="L280" s="4" t="s">
        <v>31</v>
      </c>
      <c r="M280" s="4" t="s">
        <v>3051</v>
      </c>
      <c r="N280" s="4" t="s">
        <v>33</v>
      </c>
      <c r="O280" s="8">
        <v>9011913.0</v>
      </c>
      <c r="P280" s="8">
        <v>146.0</v>
      </c>
      <c r="Q280" s="9">
        <v>92.7778</v>
      </c>
      <c r="R280" s="4" t="s">
        <v>3049</v>
      </c>
      <c r="S280" s="4" t="s">
        <v>34</v>
      </c>
      <c r="T280" s="5" t="s">
        <v>3052</v>
      </c>
      <c r="U280" s="4" t="s">
        <v>3053</v>
      </c>
      <c r="V280" s="10" t="s">
        <v>3054</v>
      </c>
      <c r="W280" s="10" t="s">
        <v>3055</v>
      </c>
      <c r="X280" s="10" t="s">
        <v>3056</v>
      </c>
      <c r="Y280" s="10" t="s">
        <v>3057</v>
      </c>
      <c r="Z280" s="11" t="s">
        <v>40</v>
      </c>
      <c r="AA280" s="2"/>
      <c r="AB280" s="2"/>
      <c r="AC280" s="2"/>
      <c r="AD280" s="2"/>
      <c r="AE280" s="2"/>
      <c r="AF280" s="2"/>
    </row>
    <row r="281" ht="22.5" customHeight="1">
      <c r="A281" s="12">
        <v>46028.86832681713</v>
      </c>
      <c r="B281" s="13" t="s">
        <v>3058</v>
      </c>
      <c r="C281" s="13" t="s">
        <v>3058</v>
      </c>
      <c r="D281" s="14" t="s">
        <v>3059</v>
      </c>
      <c r="E281" s="13" t="str">
        <f t="shared" si="1"/>
        <v>+923206201514</v>
      </c>
      <c r="F281" s="13" t="s">
        <v>3060</v>
      </c>
      <c r="G281" s="13" t="s">
        <v>3061</v>
      </c>
      <c r="H281" s="13" t="s">
        <v>3062</v>
      </c>
      <c r="I281" s="13" t="s">
        <v>3062</v>
      </c>
      <c r="J281" s="15" t="str">
        <f>IFERROR(__xludf.DUMMYFUNCTION("TEXT(REGEXREPLACE(I281, ""[^0-9]"", """"), ""00000-0000000-0"")"),"34301-0419687-0")</f>
        <v>34301-0419687-0</v>
      </c>
      <c r="K281" s="16">
        <v>38537.0</v>
      </c>
      <c r="L281" s="13" t="s">
        <v>31</v>
      </c>
      <c r="M281" s="13" t="s">
        <v>3063</v>
      </c>
      <c r="N281" s="13" t="s">
        <v>48</v>
      </c>
      <c r="O281" s="17">
        <v>4010686.0</v>
      </c>
      <c r="P281" s="17">
        <v>182.0</v>
      </c>
      <c r="Q281" s="18">
        <v>93.9227</v>
      </c>
      <c r="R281" s="13" t="s">
        <v>3061</v>
      </c>
      <c r="S281" s="13" t="s">
        <v>50</v>
      </c>
      <c r="T281" s="14" t="s">
        <v>3064</v>
      </c>
      <c r="U281" s="13" t="s">
        <v>3065</v>
      </c>
      <c r="V281" s="19" t="s">
        <v>3066</v>
      </c>
      <c r="W281" s="19" t="s">
        <v>3067</v>
      </c>
      <c r="X281" s="19" t="s">
        <v>3068</v>
      </c>
      <c r="Y281" s="19" t="s">
        <v>3069</v>
      </c>
      <c r="Z281" s="20" t="s">
        <v>40</v>
      </c>
      <c r="AA281" s="2"/>
      <c r="AB281" s="2"/>
      <c r="AC281" s="2"/>
      <c r="AD281" s="2"/>
      <c r="AE281" s="2"/>
      <c r="AF281" s="2"/>
    </row>
    <row r="282" ht="22.5" customHeight="1">
      <c r="A282" s="3">
        <v>46029.34504908565</v>
      </c>
      <c r="B282" s="4" t="s">
        <v>3070</v>
      </c>
      <c r="C282" s="4" t="s">
        <v>3070</v>
      </c>
      <c r="D282" s="4" t="s">
        <v>3071</v>
      </c>
      <c r="E282" s="4" t="str">
        <f t="shared" si="1"/>
        <v>+923270489274</v>
      </c>
      <c r="F282" s="4" t="s">
        <v>3072</v>
      </c>
      <c r="G282" s="4" t="s">
        <v>3073</v>
      </c>
      <c r="H282" s="4" t="s">
        <v>3074</v>
      </c>
      <c r="I282" s="4" t="s">
        <v>3074</v>
      </c>
      <c r="J282" s="6" t="str">
        <f>IFERROR(__xludf.DUMMYFUNCTION("TEXT(REGEXREPLACE(I282, ""[^0-9]"", """"), ""00000-0000000-0"")"),"38302-8650926-4")</f>
        <v>38302-8650926-4</v>
      </c>
      <c r="K282" s="7">
        <v>38340.0</v>
      </c>
      <c r="L282" s="4" t="s">
        <v>31</v>
      </c>
      <c r="M282" s="4" t="s">
        <v>3075</v>
      </c>
      <c r="N282" s="4" t="s">
        <v>93</v>
      </c>
      <c r="O282" s="8">
        <v>236192.0</v>
      </c>
      <c r="P282" s="8">
        <v>216.0</v>
      </c>
      <c r="Q282" s="9">
        <v>93.88</v>
      </c>
      <c r="R282" s="4" t="s">
        <v>3073</v>
      </c>
      <c r="S282" s="4" t="s">
        <v>34</v>
      </c>
      <c r="T282" s="4" t="s">
        <v>3076</v>
      </c>
      <c r="U282" s="4" t="s">
        <v>3077</v>
      </c>
      <c r="V282" s="10" t="s">
        <v>3078</v>
      </c>
      <c r="W282" s="10" t="s">
        <v>3079</v>
      </c>
      <c r="X282" s="10" t="s">
        <v>3080</v>
      </c>
      <c r="Y282" s="10" t="s">
        <v>3081</v>
      </c>
      <c r="Z282" s="11" t="s">
        <v>40</v>
      </c>
      <c r="AA282" s="2"/>
      <c r="AB282" s="2"/>
      <c r="AC282" s="2"/>
      <c r="AD282" s="2"/>
      <c r="AE282" s="2"/>
      <c r="AF282" s="2"/>
    </row>
    <row r="283" ht="22.5" customHeight="1">
      <c r="A283" s="12">
        <v>46029.83681108797</v>
      </c>
      <c r="B283" s="13" t="s">
        <v>3082</v>
      </c>
      <c r="C283" s="13" t="s">
        <v>3083</v>
      </c>
      <c r="D283" s="14" t="s">
        <v>3084</v>
      </c>
      <c r="E283" s="13" t="str">
        <f t="shared" si="1"/>
        <v>+923444494789</v>
      </c>
      <c r="F283" s="13" t="s">
        <v>3085</v>
      </c>
      <c r="G283" s="13" t="s">
        <v>3086</v>
      </c>
      <c r="H283" s="13" t="s">
        <v>3087</v>
      </c>
      <c r="I283" s="13" t="s">
        <v>3087</v>
      </c>
      <c r="J283" s="15" t="str">
        <f>IFERROR(__xludf.DUMMYFUNCTION("TEXT(REGEXREPLACE(I283, ""[^0-9]"", """"), ""00000-0000000-0"")"),"33102-5158966-6")</f>
        <v>33102-5158966-6</v>
      </c>
      <c r="K283" s="16">
        <v>38879.0</v>
      </c>
      <c r="L283" s="13" t="s">
        <v>31</v>
      </c>
      <c r="M283" s="13" t="s">
        <v>3088</v>
      </c>
      <c r="N283" s="13" t="s">
        <v>48</v>
      </c>
      <c r="O283" s="17">
        <v>2011421.0</v>
      </c>
      <c r="P283" s="17">
        <v>178.0</v>
      </c>
      <c r="Q283" s="18">
        <v>94.5</v>
      </c>
      <c r="R283" s="13" t="s">
        <v>3089</v>
      </c>
      <c r="S283" s="13" t="s">
        <v>95</v>
      </c>
      <c r="T283" s="13" t="s">
        <v>3090</v>
      </c>
      <c r="U283" s="23"/>
      <c r="V283" s="19" t="s">
        <v>3091</v>
      </c>
      <c r="W283" s="19" t="s">
        <v>3092</v>
      </c>
      <c r="X283" s="19" t="s">
        <v>3093</v>
      </c>
      <c r="Y283" s="19" t="s">
        <v>3094</v>
      </c>
      <c r="Z283" s="20" t="s">
        <v>40</v>
      </c>
      <c r="AA283" s="2"/>
      <c r="AB283" s="2"/>
      <c r="AC283" s="2"/>
      <c r="AD283" s="2"/>
      <c r="AE283" s="2"/>
      <c r="AF283" s="2"/>
    </row>
    <row r="284" ht="22.5" customHeight="1">
      <c r="A284" s="28"/>
      <c r="B284" s="25"/>
      <c r="C284" s="25"/>
      <c r="D284" s="25"/>
      <c r="E284" s="4" t="str">
        <f t="shared" si="1"/>
        <v>+</v>
      </c>
      <c r="F284" s="25"/>
      <c r="G284" s="25"/>
      <c r="H284" s="25"/>
      <c r="I284" s="25"/>
      <c r="J284" s="29" t="str">
        <f>IFERROR(__xludf.DUMMYFUNCTION("TEXT(REGEXREPLACE(I284, ""[^0-9]"", """"), ""00000-0000000-0"")"),"")</f>
        <v/>
      </c>
      <c r="K284" s="29"/>
      <c r="L284" s="25"/>
      <c r="M284" s="25"/>
      <c r="N284" s="25"/>
      <c r="O284" s="25"/>
      <c r="P284" s="25"/>
      <c r="Q284" s="30"/>
      <c r="R284" s="25"/>
      <c r="S284" s="25"/>
      <c r="T284" s="25"/>
      <c r="U284" s="25"/>
      <c r="V284" s="25"/>
      <c r="W284" s="25"/>
      <c r="X284" s="25"/>
      <c r="Y284" s="25"/>
      <c r="Z284" s="31"/>
      <c r="AA284" s="2"/>
      <c r="AB284" s="2"/>
      <c r="AC284" s="2"/>
      <c r="AD284" s="2"/>
      <c r="AE284" s="2"/>
      <c r="AF284" s="2"/>
    </row>
    <row r="285" ht="22.5" customHeight="1">
      <c r="A285" s="32"/>
      <c r="B285" s="23"/>
      <c r="C285" s="23"/>
      <c r="D285" s="23"/>
      <c r="E285" s="13" t="str">
        <f t="shared" si="1"/>
        <v>+</v>
      </c>
      <c r="F285" s="23"/>
      <c r="G285" s="23"/>
      <c r="H285" s="23"/>
      <c r="I285" s="23"/>
      <c r="J285" s="33" t="str">
        <f>IFERROR(__xludf.DUMMYFUNCTION("TEXT(REGEXREPLACE(I285, ""[^0-9]"", """"), ""00000-0000000-0"")"),"")</f>
        <v/>
      </c>
      <c r="K285" s="33"/>
      <c r="L285" s="23"/>
      <c r="M285" s="23"/>
      <c r="N285" s="23"/>
      <c r="O285" s="23"/>
      <c r="P285" s="23"/>
      <c r="Q285" s="34"/>
      <c r="R285" s="23"/>
      <c r="S285" s="23"/>
      <c r="T285" s="23"/>
      <c r="U285" s="23"/>
      <c r="V285" s="23"/>
      <c r="W285" s="23"/>
      <c r="X285" s="23"/>
      <c r="Y285" s="23"/>
      <c r="Z285" s="35"/>
      <c r="AA285" s="2"/>
      <c r="AB285" s="2"/>
      <c r="AC285" s="2"/>
      <c r="AD285" s="2"/>
      <c r="AE285" s="2"/>
      <c r="AF285" s="2"/>
    </row>
    <row r="286" ht="22.5" customHeight="1">
      <c r="A286" s="28"/>
      <c r="B286" s="25"/>
      <c r="C286" s="25"/>
      <c r="D286" s="25"/>
      <c r="E286" s="4" t="str">
        <f t="shared" si="1"/>
        <v>+</v>
      </c>
      <c r="F286" s="25"/>
      <c r="G286" s="25"/>
      <c r="H286" s="25"/>
      <c r="I286" s="25"/>
      <c r="J286" s="29" t="str">
        <f>IFERROR(__xludf.DUMMYFUNCTION("TEXT(REGEXREPLACE(I286, ""[^0-9]"", """"), ""00000-0000000-0"")"),"")</f>
        <v/>
      </c>
      <c r="K286" s="29"/>
      <c r="L286" s="25"/>
      <c r="M286" s="25"/>
      <c r="N286" s="25"/>
      <c r="O286" s="25"/>
      <c r="P286" s="25"/>
      <c r="Q286" s="30"/>
      <c r="R286" s="25"/>
      <c r="S286" s="25"/>
      <c r="T286" s="25"/>
      <c r="U286" s="25"/>
      <c r="V286" s="25"/>
      <c r="W286" s="25"/>
      <c r="X286" s="25"/>
      <c r="Y286" s="25"/>
      <c r="Z286" s="31"/>
      <c r="AA286" s="2"/>
      <c r="AB286" s="2"/>
      <c r="AC286" s="2"/>
      <c r="AD286" s="2"/>
      <c r="AE286" s="2"/>
      <c r="AF286" s="2"/>
    </row>
    <row r="287" ht="22.5" customHeight="1">
      <c r="A287" s="32"/>
      <c r="B287" s="23"/>
      <c r="C287" s="23"/>
      <c r="D287" s="23"/>
      <c r="E287" s="13" t="str">
        <f t="shared" si="1"/>
        <v>+</v>
      </c>
      <c r="F287" s="23"/>
      <c r="G287" s="23"/>
      <c r="H287" s="23"/>
      <c r="I287" s="23"/>
      <c r="J287" s="33" t="str">
        <f>IFERROR(__xludf.DUMMYFUNCTION("TEXT(REGEXREPLACE(I287, ""[^0-9]"", """"), ""00000-0000000-0"")"),"")</f>
        <v/>
      </c>
      <c r="K287" s="33"/>
      <c r="L287" s="23"/>
      <c r="M287" s="23"/>
      <c r="N287" s="23"/>
      <c r="O287" s="23"/>
      <c r="P287" s="23"/>
      <c r="Q287" s="34"/>
      <c r="R287" s="23"/>
      <c r="S287" s="23"/>
      <c r="T287" s="23"/>
      <c r="U287" s="23"/>
      <c r="V287" s="23"/>
      <c r="W287" s="23"/>
      <c r="X287" s="23"/>
      <c r="Y287" s="23"/>
      <c r="Z287" s="35"/>
      <c r="AA287" s="2"/>
      <c r="AB287" s="2"/>
      <c r="AC287" s="2"/>
      <c r="AD287" s="2"/>
      <c r="AE287" s="2"/>
      <c r="AF287" s="2"/>
    </row>
    <row r="288" ht="22.5" customHeight="1">
      <c r="A288" s="28"/>
      <c r="B288" s="25"/>
      <c r="C288" s="25"/>
      <c r="D288" s="25"/>
      <c r="E288" s="4" t="str">
        <f t="shared" si="1"/>
        <v>+</v>
      </c>
      <c r="F288" s="25"/>
      <c r="G288" s="25"/>
      <c r="H288" s="25"/>
      <c r="I288" s="25"/>
      <c r="J288" s="29" t="str">
        <f>IFERROR(__xludf.DUMMYFUNCTION("TEXT(REGEXREPLACE(I288, ""[^0-9]"", """"), ""00000-0000000-0"")"),"")</f>
        <v/>
      </c>
      <c r="K288" s="29"/>
      <c r="L288" s="25"/>
      <c r="M288" s="25"/>
      <c r="N288" s="25"/>
      <c r="O288" s="25"/>
      <c r="P288" s="25"/>
      <c r="Q288" s="30"/>
      <c r="R288" s="25"/>
      <c r="S288" s="25"/>
      <c r="T288" s="25"/>
      <c r="U288" s="25"/>
      <c r="V288" s="25"/>
      <c r="W288" s="25"/>
      <c r="X288" s="25"/>
      <c r="Y288" s="25"/>
      <c r="Z288" s="31"/>
      <c r="AA288" s="2"/>
      <c r="AB288" s="2"/>
      <c r="AC288" s="2"/>
      <c r="AD288" s="2"/>
      <c r="AE288" s="2"/>
      <c r="AF288" s="2"/>
    </row>
    <row r="289" ht="22.5" customHeight="1">
      <c r="A289" s="32"/>
      <c r="B289" s="23"/>
      <c r="C289" s="23"/>
      <c r="D289" s="23"/>
      <c r="E289" s="13" t="str">
        <f t="shared" si="1"/>
        <v>+</v>
      </c>
      <c r="F289" s="23"/>
      <c r="G289" s="23"/>
      <c r="H289" s="23"/>
      <c r="I289" s="23"/>
      <c r="J289" s="33" t="str">
        <f>IFERROR(__xludf.DUMMYFUNCTION("TEXT(REGEXREPLACE(I289, ""[^0-9]"", """"), ""00000-0000000-0"")"),"")</f>
        <v/>
      </c>
      <c r="K289" s="33"/>
      <c r="L289" s="23"/>
      <c r="M289" s="23"/>
      <c r="N289" s="23"/>
      <c r="O289" s="23"/>
      <c r="P289" s="23"/>
      <c r="Q289" s="34"/>
      <c r="R289" s="23"/>
      <c r="S289" s="23"/>
      <c r="T289" s="23"/>
      <c r="U289" s="23"/>
      <c r="V289" s="23"/>
      <c r="W289" s="23"/>
      <c r="X289" s="23"/>
      <c r="Y289" s="23"/>
      <c r="Z289" s="35"/>
      <c r="AA289" s="2"/>
      <c r="AB289" s="2"/>
      <c r="AC289" s="2"/>
      <c r="AD289" s="2"/>
      <c r="AE289" s="2"/>
      <c r="AF289" s="2"/>
    </row>
    <row r="290" ht="22.5" customHeight="1">
      <c r="A290" s="28"/>
      <c r="B290" s="25"/>
      <c r="C290" s="25"/>
      <c r="D290" s="25"/>
      <c r="E290" s="4" t="str">
        <f t="shared" si="1"/>
        <v>+</v>
      </c>
      <c r="F290" s="25"/>
      <c r="G290" s="25"/>
      <c r="H290" s="25"/>
      <c r="I290" s="25"/>
      <c r="J290" s="29" t="str">
        <f>IFERROR(__xludf.DUMMYFUNCTION("TEXT(REGEXREPLACE(I290, ""[^0-9]"", """"), ""00000-0000000-0"")"),"")</f>
        <v/>
      </c>
      <c r="K290" s="29"/>
      <c r="L290" s="25"/>
      <c r="M290" s="25"/>
      <c r="N290" s="25"/>
      <c r="O290" s="25"/>
      <c r="P290" s="25"/>
      <c r="Q290" s="30"/>
      <c r="R290" s="25"/>
      <c r="S290" s="25"/>
      <c r="T290" s="25"/>
      <c r="U290" s="25"/>
      <c r="V290" s="25"/>
      <c r="W290" s="25"/>
      <c r="X290" s="25"/>
      <c r="Y290" s="25"/>
      <c r="Z290" s="31"/>
      <c r="AA290" s="2"/>
      <c r="AB290" s="2"/>
      <c r="AC290" s="2"/>
      <c r="AD290" s="2"/>
      <c r="AE290" s="2"/>
      <c r="AF290" s="2"/>
    </row>
    <row r="291" ht="22.5" customHeight="1">
      <c r="A291" s="32"/>
      <c r="B291" s="23"/>
      <c r="C291" s="23"/>
      <c r="D291" s="23"/>
      <c r="E291" s="13" t="str">
        <f t="shared" si="1"/>
        <v>+</v>
      </c>
      <c r="F291" s="23"/>
      <c r="G291" s="23"/>
      <c r="H291" s="23"/>
      <c r="I291" s="23"/>
      <c r="J291" s="33" t="str">
        <f>IFERROR(__xludf.DUMMYFUNCTION("TEXT(REGEXREPLACE(I291, ""[^0-9]"", """"), ""00000-0000000-0"")"),"")</f>
        <v/>
      </c>
      <c r="K291" s="33"/>
      <c r="L291" s="23"/>
      <c r="M291" s="23"/>
      <c r="N291" s="23"/>
      <c r="O291" s="23"/>
      <c r="P291" s="23"/>
      <c r="Q291" s="34"/>
      <c r="R291" s="23"/>
      <c r="S291" s="23"/>
      <c r="T291" s="23"/>
      <c r="U291" s="23"/>
      <c r="V291" s="23"/>
      <c r="W291" s="23"/>
      <c r="X291" s="23"/>
      <c r="Y291" s="23"/>
      <c r="Z291" s="35"/>
      <c r="AA291" s="2"/>
      <c r="AB291" s="2"/>
      <c r="AC291" s="2"/>
      <c r="AD291" s="2"/>
      <c r="AE291" s="2"/>
      <c r="AF291" s="2"/>
    </row>
    <row r="292" ht="22.5" customHeight="1">
      <c r="A292" s="28"/>
      <c r="B292" s="25"/>
      <c r="C292" s="25"/>
      <c r="D292" s="25"/>
      <c r="E292" s="4" t="str">
        <f t="shared" si="1"/>
        <v>+</v>
      </c>
      <c r="F292" s="25"/>
      <c r="G292" s="25"/>
      <c r="H292" s="25"/>
      <c r="I292" s="25"/>
      <c r="J292" s="29" t="str">
        <f>IFERROR(__xludf.DUMMYFUNCTION("TEXT(REGEXREPLACE(I292, ""[^0-9]"", """"), ""00000-0000000-0"")"),"")</f>
        <v/>
      </c>
      <c r="K292" s="29"/>
      <c r="L292" s="25"/>
      <c r="M292" s="25"/>
      <c r="N292" s="25"/>
      <c r="O292" s="25"/>
      <c r="P292" s="25"/>
      <c r="Q292" s="30"/>
      <c r="R292" s="25"/>
      <c r="S292" s="25"/>
      <c r="T292" s="25"/>
      <c r="U292" s="25"/>
      <c r="V292" s="25"/>
      <c r="W292" s="25"/>
      <c r="X292" s="25"/>
      <c r="Y292" s="25"/>
      <c r="Z292" s="31"/>
      <c r="AA292" s="2"/>
      <c r="AB292" s="2"/>
      <c r="AC292" s="2"/>
      <c r="AD292" s="2"/>
      <c r="AE292" s="2"/>
      <c r="AF292" s="2"/>
    </row>
    <row r="293" ht="22.5" customHeight="1">
      <c r="A293" s="32"/>
      <c r="B293" s="23"/>
      <c r="C293" s="23"/>
      <c r="D293" s="23"/>
      <c r="E293" s="13" t="str">
        <f t="shared" si="1"/>
        <v>+</v>
      </c>
      <c r="F293" s="23"/>
      <c r="G293" s="23"/>
      <c r="H293" s="23"/>
      <c r="I293" s="23"/>
      <c r="J293" s="33" t="str">
        <f>IFERROR(__xludf.DUMMYFUNCTION("TEXT(REGEXREPLACE(I293, ""[^0-9]"", """"), ""00000-0000000-0"")"),"")</f>
        <v/>
      </c>
      <c r="K293" s="33"/>
      <c r="L293" s="23"/>
      <c r="M293" s="23"/>
      <c r="N293" s="23"/>
      <c r="O293" s="23"/>
      <c r="P293" s="23"/>
      <c r="Q293" s="34"/>
      <c r="R293" s="23"/>
      <c r="S293" s="23"/>
      <c r="T293" s="23"/>
      <c r="U293" s="23"/>
      <c r="V293" s="23"/>
      <c r="W293" s="23"/>
      <c r="X293" s="23"/>
      <c r="Y293" s="23"/>
      <c r="Z293" s="35"/>
      <c r="AA293" s="2"/>
      <c r="AB293" s="2"/>
      <c r="AC293" s="2"/>
      <c r="AD293" s="2"/>
      <c r="AE293" s="2"/>
      <c r="AF293" s="2"/>
    </row>
    <row r="294" ht="22.5" customHeight="1">
      <c r="A294" s="28"/>
      <c r="B294" s="25"/>
      <c r="C294" s="25"/>
      <c r="D294" s="25"/>
      <c r="E294" s="4" t="str">
        <f t="shared" si="1"/>
        <v>+</v>
      </c>
      <c r="F294" s="25"/>
      <c r="G294" s="25"/>
      <c r="H294" s="25"/>
      <c r="I294" s="25"/>
      <c r="J294" s="29" t="str">
        <f>IFERROR(__xludf.DUMMYFUNCTION("TEXT(REGEXREPLACE(I294, ""[^0-9]"", """"), ""00000-0000000-0"")"),"")</f>
        <v/>
      </c>
      <c r="K294" s="29"/>
      <c r="L294" s="25"/>
      <c r="M294" s="25"/>
      <c r="N294" s="25"/>
      <c r="O294" s="25"/>
      <c r="P294" s="25"/>
      <c r="Q294" s="30"/>
      <c r="R294" s="25"/>
      <c r="S294" s="25"/>
      <c r="T294" s="25"/>
      <c r="U294" s="25"/>
      <c r="V294" s="25"/>
      <c r="W294" s="25"/>
      <c r="X294" s="25"/>
      <c r="Y294" s="25"/>
      <c r="Z294" s="31"/>
      <c r="AA294" s="2"/>
      <c r="AB294" s="2"/>
      <c r="AC294" s="2"/>
      <c r="AD294" s="2"/>
      <c r="AE294" s="2"/>
      <c r="AF294" s="2"/>
    </row>
    <row r="295" ht="22.5" customHeight="1">
      <c r="A295" s="32"/>
      <c r="B295" s="23"/>
      <c r="C295" s="23"/>
      <c r="D295" s="23"/>
      <c r="E295" s="13" t="str">
        <f t="shared" si="1"/>
        <v>+</v>
      </c>
      <c r="F295" s="23"/>
      <c r="G295" s="23"/>
      <c r="H295" s="23"/>
      <c r="I295" s="23"/>
      <c r="J295" s="33" t="str">
        <f>IFERROR(__xludf.DUMMYFUNCTION("TEXT(REGEXREPLACE(I295, ""[^0-9]"", """"), ""00000-0000000-0"")"),"")</f>
        <v/>
      </c>
      <c r="K295" s="33"/>
      <c r="L295" s="23"/>
      <c r="M295" s="23"/>
      <c r="N295" s="23"/>
      <c r="O295" s="23"/>
      <c r="P295" s="23"/>
      <c r="Q295" s="34"/>
      <c r="R295" s="23"/>
      <c r="S295" s="23"/>
      <c r="T295" s="23"/>
      <c r="U295" s="23"/>
      <c r="V295" s="23"/>
      <c r="W295" s="23"/>
      <c r="X295" s="23"/>
      <c r="Y295" s="23"/>
      <c r="Z295" s="35"/>
      <c r="AA295" s="2"/>
      <c r="AB295" s="2"/>
      <c r="AC295" s="2"/>
      <c r="AD295" s="2"/>
      <c r="AE295" s="2"/>
      <c r="AF295" s="2"/>
    </row>
    <row r="296" ht="22.5" customHeight="1">
      <c r="A296" s="28"/>
      <c r="B296" s="25"/>
      <c r="C296" s="25"/>
      <c r="D296" s="25"/>
      <c r="E296" s="4" t="str">
        <f t="shared" si="1"/>
        <v>+</v>
      </c>
      <c r="F296" s="25"/>
      <c r="G296" s="25"/>
      <c r="H296" s="25"/>
      <c r="I296" s="25"/>
      <c r="J296" s="29" t="str">
        <f>IFERROR(__xludf.DUMMYFUNCTION("TEXT(REGEXREPLACE(I296, ""[^0-9]"", """"), ""00000-0000000-0"")"),"")</f>
        <v/>
      </c>
      <c r="K296" s="29"/>
      <c r="L296" s="25"/>
      <c r="M296" s="25"/>
      <c r="N296" s="25"/>
      <c r="O296" s="25"/>
      <c r="P296" s="25"/>
      <c r="Q296" s="30"/>
      <c r="R296" s="25"/>
      <c r="S296" s="25"/>
      <c r="T296" s="25"/>
      <c r="U296" s="25"/>
      <c r="V296" s="25"/>
      <c r="W296" s="25"/>
      <c r="X296" s="25"/>
      <c r="Y296" s="25"/>
      <c r="Z296" s="31"/>
      <c r="AA296" s="2"/>
      <c r="AB296" s="2"/>
      <c r="AC296" s="2"/>
      <c r="AD296" s="2"/>
      <c r="AE296" s="2"/>
      <c r="AF296" s="2"/>
    </row>
    <row r="297" ht="22.5" customHeight="1">
      <c r="A297" s="32"/>
      <c r="B297" s="23"/>
      <c r="C297" s="23"/>
      <c r="D297" s="23"/>
      <c r="E297" s="13" t="str">
        <f t="shared" si="1"/>
        <v>+</v>
      </c>
      <c r="F297" s="23"/>
      <c r="G297" s="23"/>
      <c r="H297" s="23"/>
      <c r="I297" s="23"/>
      <c r="J297" s="33" t="str">
        <f>IFERROR(__xludf.DUMMYFUNCTION("TEXT(REGEXREPLACE(I297, ""[^0-9]"", """"), ""00000-0000000-0"")"),"")</f>
        <v/>
      </c>
      <c r="K297" s="33"/>
      <c r="L297" s="23"/>
      <c r="M297" s="23"/>
      <c r="N297" s="23"/>
      <c r="O297" s="23"/>
      <c r="P297" s="23"/>
      <c r="Q297" s="34"/>
      <c r="R297" s="23"/>
      <c r="S297" s="23"/>
      <c r="T297" s="23"/>
      <c r="U297" s="23"/>
      <c r="V297" s="23"/>
      <c r="W297" s="23"/>
      <c r="X297" s="23"/>
      <c r="Y297" s="23"/>
      <c r="Z297" s="35"/>
      <c r="AA297" s="2"/>
      <c r="AB297" s="2"/>
      <c r="AC297" s="2"/>
      <c r="AD297" s="2"/>
      <c r="AE297" s="2"/>
      <c r="AF297" s="2"/>
    </row>
    <row r="298" ht="22.5" customHeight="1">
      <c r="A298" s="28"/>
      <c r="B298" s="25"/>
      <c r="C298" s="25"/>
      <c r="D298" s="25"/>
      <c r="E298" s="4" t="str">
        <f t="shared" si="1"/>
        <v>+</v>
      </c>
      <c r="F298" s="25"/>
      <c r="G298" s="25"/>
      <c r="H298" s="25"/>
      <c r="I298" s="25"/>
      <c r="J298" s="29" t="str">
        <f>IFERROR(__xludf.DUMMYFUNCTION("TEXT(REGEXREPLACE(I298, ""[^0-9]"", """"), ""00000-0000000-0"")"),"")</f>
        <v/>
      </c>
      <c r="K298" s="29"/>
      <c r="L298" s="25"/>
      <c r="M298" s="25"/>
      <c r="N298" s="25"/>
      <c r="O298" s="25"/>
      <c r="P298" s="25"/>
      <c r="Q298" s="30"/>
      <c r="R298" s="25"/>
      <c r="S298" s="25"/>
      <c r="T298" s="25"/>
      <c r="U298" s="25"/>
      <c r="V298" s="25"/>
      <c r="W298" s="25"/>
      <c r="X298" s="25"/>
      <c r="Y298" s="25"/>
      <c r="Z298" s="31"/>
      <c r="AA298" s="2"/>
      <c r="AB298" s="2"/>
      <c r="AC298" s="2"/>
      <c r="AD298" s="2"/>
      <c r="AE298" s="2"/>
      <c r="AF298" s="2"/>
    </row>
    <row r="299" ht="22.5" customHeight="1">
      <c r="A299" s="32"/>
      <c r="B299" s="23"/>
      <c r="C299" s="23"/>
      <c r="D299" s="23"/>
      <c r="E299" s="13" t="str">
        <f t="shared" si="1"/>
        <v>+</v>
      </c>
      <c r="F299" s="23"/>
      <c r="G299" s="23"/>
      <c r="H299" s="23"/>
      <c r="I299" s="23"/>
      <c r="J299" s="33" t="str">
        <f>IFERROR(__xludf.DUMMYFUNCTION("TEXT(REGEXREPLACE(I299, ""[^0-9]"", """"), ""00000-0000000-0"")"),"")</f>
        <v/>
      </c>
      <c r="K299" s="33"/>
      <c r="L299" s="23"/>
      <c r="M299" s="23"/>
      <c r="N299" s="23"/>
      <c r="O299" s="23"/>
      <c r="P299" s="23"/>
      <c r="Q299" s="34"/>
      <c r="R299" s="23"/>
      <c r="S299" s="23"/>
      <c r="T299" s="23"/>
      <c r="U299" s="23"/>
      <c r="V299" s="23"/>
      <c r="W299" s="23"/>
      <c r="X299" s="23"/>
      <c r="Y299" s="23"/>
      <c r="Z299" s="35"/>
      <c r="AA299" s="2"/>
      <c r="AB299" s="2"/>
      <c r="AC299" s="2"/>
      <c r="AD299" s="2"/>
      <c r="AE299" s="2"/>
      <c r="AF299" s="2"/>
    </row>
    <row r="300" ht="22.5" customHeight="1">
      <c r="A300" s="28"/>
      <c r="B300" s="25"/>
      <c r="C300" s="25"/>
      <c r="D300" s="25"/>
      <c r="E300" s="4" t="str">
        <f t="shared" si="1"/>
        <v>+</v>
      </c>
      <c r="F300" s="25"/>
      <c r="G300" s="25"/>
      <c r="H300" s="25"/>
      <c r="I300" s="25"/>
      <c r="J300" s="29" t="str">
        <f>IFERROR(__xludf.DUMMYFUNCTION("TEXT(REGEXREPLACE(I300, ""[^0-9]"", """"), ""00000-0000000-0"")"),"")</f>
        <v/>
      </c>
      <c r="K300" s="29"/>
      <c r="L300" s="25"/>
      <c r="M300" s="25"/>
      <c r="N300" s="25"/>
      <c r="O300" s="25"/>
      <c r="P300" s="25"/>
      <c r="Q300" s="30"/>
      <c r="R300" s="25"/>
      <c r="S300" s="25"/>
      <c r="T300" s="25"/>
      <c r="U300" s="25"/>
      <c r="V300" s="25"/>
      <c r="W300" s="25"/>
      <c r="X300" s="25"/>
      <c r="Y300" s="25"/>
      <c r="Z300" s="31"/>
      <c r="AA300" s="2"/>
      <c r="AB300" s="2"/>
      <c r="AC300" s="2"/>
      <c r="AD300" s="2"/>
      <c r="AE300" s="2"/>
      <c r="AF300" s="2"/>
    </row>
    <row r="301" ht="22.5" customHeight="1">
      <c r="A301" s="32"/>
      <c r="B301" s="23"/>
      <c r="C301" s="23"/>
      <c r="D301" s="23"/>
      <c r="E301" s="13" t="str">
        <f t="shared" si="1"/>
        <v>+</v>
      </c>
      <c r="F301" s="23"/>
      <c r="G301" s="23"/>
      <c r="H301" s="23"/>
      <c r="I301" s="23"/>
      <c r="J301" s="33" t="str">
        <f>IFERROR(__xludf.DUMMYFUNCTION("TEXT(REGEXREPLACE(I301, ""[^0-9]"", """"), ""00000-0000000-0"")"),"")</f>
        <v/>
      </c>
      <c r="K301" s="33"/>
      <c r="L301" s="23"/>
      <c r="M301" s="23"/>
      <c r="N301" s="23"/>
      <c r="O301" s="23"/>
      <c r="P301" s="23"/>
      <c r="Q301" s="34"/>
      <c r="R301" s="23"/>
      <c r="S301" s="23"/>
      <c r="T301" s="23"/>
      <c r="U301" s="23"/>
      <c r="V301" s="23"/>
      <c r="W301" s="23"/>
      <c r="X301" s="23"/>
      <c r="Y301" s="23"/>
      <c r="Z301" s="35"/>
      <c r="AA301" s="2"/>
      <c r="AB301" s="2"/>
      <c r="AC301" s="2"/>
      <c r="AD301" s="2"/>
      <c r="AE301" s="2"/>
      <c r="AF301" s="2"/>
    </row>
    <row r="302" ht="22.5" customHeight="1">
      <c r="A302" s="28"/>
      <c r="B302" s="25"/>
      <c r="C302" s="25"/>
      <c r="D302" s="25"/>
      <c r="E302" s="4" t="str">
        <f t="shared" si="1"/>
        <v>+</v>
      </c>
      <c r="F302" s="25"/>
      <c r="G302" s="25"/>
      <c r="H302" s="25"/>
      <c r="I302" s="25"/>
      <c r="J302" s="29" t="str">
        <f>IFERROR(__xludf.DUMMYFUNCTION("TEXT(REGEXREPLACE(I302, ""[^0-9]"", """"), ""00000-0000000-0"")"),"")</f>
        <v/>
      </c>
      <c r="K302" s="29"/>
      <c r="L302" s="25"/>
      <c r="M302" s="25"/>
      <c r="N302" s="25"/>
      <c r="O302" s="25"/>
      <c r="P302" s="25"/>
      <c r="Q302" s="30"/>
      <c r="R302" s="25"/>
      <c r="S302" s="25"/>
      <c r="T302" s="25"/>
      <c r="U302" s="25"/>
      <c r="V302" s="25"/>
      <c r="W302" s="25"/>
      <c r="X302" s="25"/>
      <c r="Y302" s="25"/>
      <c r="Z302" s="31"/>
      <c r="AA302" s="2"/>
      <c r="AB302" s="2"/>
      <c r="AC302" s="2"/>
      <c r="AD302" s="2"/>
      <c r="AE302" s="2"/>
      <c r="AF302" s="2"/>
    </row>
    <row r="303" ht="22.5" customHeight="1">
      <c r="A303" s="32"/>
      <c r="B303" s="23"/>
      <c r="C303" s="23"/>
      <c r="D303" s="23"/>
      <c r="E303" s="13" t="str">
        <f t="shared" si="1"/>
        <v>+</v>
      </c>
      <c r="F303" s="23"/>
      <c r="G303" s="23"/>
      <c r="H303" s="23"/>
      <c r="I303" s="23"/>
      <c r="J303" s="33" t="str">
        <f>IFERROR(__xludf.DUMMYFUNCTION("TEXT(REGEXREPLACE(I303, ""[^0-9]"", """"), ""00000-0000000-0"")"),"")</f>
        <v/>
      </c>
      <c r="K303" s="33"/>
      <c r="L303" s="23"/>
      <c r="M303" s="23"/>
      <c r="N303" s="23"/>
      <c r="O303" s="23"/>
      <c r="P303" s="23"/>
      <c r="Q303" s="34"/>
      <c r="R303" s="23"/>
      <c r="S303" s="23"/>
      <c r="T303" s="23"/>
      <c r="U303" s="23"/>
      <c r="V303" s="23"/>
      <c r="W303" s="23"/>
      <c r="X303" s="23"/>
      <c r="Y303" s="23"/>
      <c r="Z303" s="35"/>
      <c r="AA303" s="2"/>
      <c r="AB303" s="2"/>
      <c r="AC303" s="2"/>
      <c r="AD303" s="2"/>
      <c r="AE303" s="2"/>
      <c r="AF303" s="2"/>
    </row>
    <row r="304" ht="22.5" customHeight="1">
      <c r="A304" s="28"/>
      <c r="B304" s="25"/>
      <c r="C304" s="25"/>
      <c r="D304" s="25"/>
      <c r="E304" s="4" t="str">
        <f t="shared" si="1"/>
        <v>+</v>
      </c>
      <c r="F304" s="25"/>
      <c r="G304" s="25"/>
      <c r="H304" s="25"/>
      <c r="I304" s="25"/>
      <c r="J304" s="29" t="str">
        <f>IFERROR(__xludf.DUMMYFUNCTION("TEXT(REGEXREPLACE(I304, ""[^0-9]"", """"), ""00000-0000000-0"")"),"")</f>
        <v/>
      </c>
      <c r="K304" s="29"/>
      <c r="L304" s="25"/>
      <c r="M304" s="25"/>
      <c r="N304" s="25"/>
      <c r="O304" s="25"/>
      <c r="P304" s="25"/>
      <c r="Q304" s="30"/>
      <c r="R304" s="25"/>
      <c r="S304" s="25"/>
      <c r="T304" s="25"/>
      <c r="U304" s="25"/>
      <c r="V304" s="25"/>
      <c r="W304" s="25"/>
      <c r="X304" s="25"/>
      <c r="Y304" s="25"/>
      <c r="Z304" s="31"/>
      <c r="AA304" s="2"/>
      <c r="AB304" s="2"/>
      <c r="AC304" s="2"/>
      <c r="AD304" s="2"/>
      <c r="AE304" s="2"/>
      <c r="AF304" s="2"/>
    </row>
    <row r="305" ht="22.5" customHeight="1">
      <c r="A305" s="32"/>
      <c r="B305" s="23"/>
      <c r="C305" s="23"/>
      <c r="D305" s="23"/>
      <c r="E305" s="13" t="str">
        <f t="shared" si="1"/>
        <v>+</v>
      </c>
      <c r="F305" s="23"/>
      <c r="G305" s="23"/>
      <c r="H305" s="23"/>
      <c r="I305" s="23"/>
      <c r="J305" s="33" t="str">
        <f>IFERROR(__xludf.DUMMYFUNCTION("TEXT(REGEXREPLACE(I305, ""[^0-9]"", """"), ""00000-0000000-0"")"),"")</f>
        <v/>
      </c>
      <c r="K305" s="33"/>
      <c r="L305" s="23"/>
      <c r="M305" s="23"/>
      <c r="N305" s="23"/>
      <c r="O305" s="23"/>
      <c r="P305" s="23"/>
      <c r="Q305" s="34"/>
      <c r="R305" s="23"/>
      <c r="S305" s="23"/>
      <c r="T305" s="23"/>
      <c r="U305" s="23"/>
      <c r="V305" s="23"/>
      <c r="W305" s="23"/>
      <c r="X305" s="23"/>
      <c r="Y305" s="23"/>
      <c r="Z305" s="35"/>
      <c r="AA305" s="2"/>
      <c r="AB305" s="2"/>
      <c r="AC305" s="2"/>
      <c r="AD305" s="2"/>
      <c r="AE305" s="2"/>
      <c r="AF305" s="2"/>
    </row>
    <row r="306" ht="22.5" customHeight="1">
      <c r="A306" s="28"/>
      <c r="B306" s="25"/>
      <c r="C306" s="25"/>
      <c r="D306" s="25"/>
      <c r="E306" s="4" t="str">
        <f t="shared" si="1"/>
        <v>+</v>
      </c>
      <c r="F306" s="25"/>
      <c r="G306" s="25"/>
      <c r="H306" s="25"/>
      <c r="I306" s="25"/>
      <c r="J306" s="29" t="str">
        <f>IFERROR(__xludf.DUMMYFUNCTION("TEXT(REGEXREPLACE(I306, ""[^0-9]"", """"), ""00000-0000000-0"")"),"")</f>
        <v/>
      </c>
      <c r="K306" s="29"/>
      <c r="L306" s="25"/>
      <c r="M306" s="25"/>
      <c r="N306" s="25"/>
      <c r="O306" s="25"/>
      <c r="P306" s="25"/>
      <c r="Q306" s="30"/>
      <c r="R306" s="25"/>
      <c r="S306" s="25"/>
      <c r="T306" s="25"/>
      <c r="U306" s="25"/>
      <c r="V306" s="25"/>
      <c r="W306" s="25"/>
      <c r="X306" s="25"/>
      <c r="Y306" s="25"/>
      <c r="Z306" s="31"/>
      <c r="AA306" s="2"/>
      <c r="AB306" s="2"/>
      <c r="AC306" s="2"/>
      <c r="AD306" s="2"/>
      <c r="AE306" s="2"/>
      <c r="AF306" s="2"/>
    </row>
    <row r="307" ht="22.5" customHeight="1">
      <c r="A307" s="32"/>
      <c r="B307" s="23"/>
      <c r="C307" s="23"/>
      <c r="D307" s="23"/>
      <c r="E307" s="13" t="str">
        <f t="shared" si="1"/>
        <v>+</v>
      </c>
      <c r="F307" s="23"/>
      <c r="G307" s="23"/>
      <c r="H307" s="23"/>
      <c r="I307" s="23"/>
      <c r="J307" s="33" t="str">
        <f>IFERROR(__xludf.DUMMYFUNCTION("TEXT(REGEXREPLACE(I307, ""[^0-9]"", """"), ""00000-0000000-0"")"),"")</f>
        <v/>
      </c>
      <c r="K307" s="33"/>
      <c r="L307" s="23"/>
      <c r="M307" s="23"/>
      <c r="N307" s="23"/>
      <c r="O307" s="23"/>
      <c r="P307" s="23"/>
      <c r="Q307" s="34"/>
      <c r="R307" s="23"/>
      <c r="S307" s="23"/>
      <c r="T307" s="23"/>
      <c r="U307" s="23"/>
      <c r="V307" s="23"/>
      <c r="W307" s="23"/>
      <c r="X307" s="23"/>
      <c r="Y307" s="23"/>
      <c r="Z307" s="35"/>
      <c r="AA307" s="2"/>
      <c r="AB307" s="2"/>
      <c r="AC307" s="2"/>
      <c r="AD307" s="2"/>
      <c r="AE307" s="2"/>
      <c r="AF307" s="2"/>
    </row>
    <row r="308" ht="22.5" customHeight="1">
      <c r="A308" s="28"/>
      <c r="B308" s="25"/>
      <c r="C308" s="25"/>
      <c r="D308" s="25"/>
      <c r="E308" s="4" t="str">
        <f t="shared" si="1"/>
        <v>+</v>
      </c>
      <c r="F308" s="25"/>
      <c r="G308" s="25"/>
      <c r="H308" s="25"/>
      <c r="I308" s="25"/>
      <c r="J308" s="29" t="str">
        <f>IFERROR(__xludf.DUMMYFUNCTION("TEXT(REGEXREPLACE(I308, ""[^0-9]"", """"), ""00000-0000000-0"")"),"")</f>
        <v/>
      </c>
      <c r="K308" s="29"/>
      <c r="L308" s="25"/>
      <c r="M308" s="25"/>
      <c r="N308" s="25"/>
      <c r="O308" s="25"/>
      <c r="P308" s="25"/>
      <c r="Q308" s="30"/>
      <c r="R308" s="25"/>
      <c r="S308" s="25"/>
      <c r="T308" s="25"/>
      <c r="U308" s="25"/>
      <c r="V308" s="25"/>
      <c r="W308" s="25"/>
      <c r="X308" s="25"/>
      <c r="Y308" s="25"/>
      <c r="Z308" s="31"/>
      <c r="AA308" s="2"/>
      <c r="AB308" s="2"/>
      <c r="AC308" s="2"/>
      <c r="AD308" s="2"/>
      <c r="AE308" s="2"/>
      <c r="AF308" s="2"/>
    </row>
    <row r="309" ht="22.5" customHeight="1">
      <c r="A309" s="32"/>
      <c r="B309" s="23"/>
      <c r="C309" s="23"/>
      <c r="D309" s="23"/>
      <c r="E309" s="13" t="str">
        <f t="shared" si="1"/>
        <v>+</v>
      </c>
      <c r="F309" s="23"/>
      <c r="G309" s="23"/>
      <c r="H309" s="23"/>
      <c r="I309" s="23"/>
      <c r="J309" s="33" t="str">
        <f>IFERROR(__xludf.DUMMYFUNCTION("TEXT(REGEXREPLACE(I309, ""[^0-9]"", """"), ""00000-0000000-0"")"),"")</f>
        <v/>
      </c>
      <c r="K309" s="33"/>
      <c r="L309" s="23"/>
      <c r="M309" s="23"/>
      <c r="N309" s="23"/>
      <c r="O309" s="23"/>
      <c r="P309" s="23"/>
      <c r="Q309" s="34"/>
      <c r="R309" s="23"/>
      <c r="S309" s="23"/>
      <c r="T309" s="23"/>
      <c r="U309" s="23"/>
      <c r="V309" s="23"/>
      <c r="W309" s="23"/>
      <c r="X309" s="23"/>
      <c r="Y309" s="23"/>
      <c r="Z309" s="35"/>
      <c r="AA309" s="2"/>
      <c r="AB309" s="2"/>
      <c r="AC309" s="2"/>
      <c r="AD309" s="2"/>
      <c r="AE309" s="2"/>
      <c r="AF309" s="2"/>
    </row>
    <row r="310" ht="22.5" customHeight="1">
      <c r="A310" s="28"/>
      <c r="B310" s="25"/>
      <c r="C310" s="25"/>
      <c r="D310" s="25"/>
      <c r="E310" s="4" t="str">
        <f t="shared" si="1"/>
        <v>+</v>
      </c>
      <c r="F310" s="25"/>
      <c r="G310" s="25"/>
      <c r="H310" s="25"/>
      <c r="I310" s="25"/>
      <c r="J310" s="29" t="str">
        <f>IFERROR(__xludf.DUMMYFUNCTION("TEXT(REGEXREPLACE(I310, ""[^0-9]"", """"), ""00000-0000000-0"")"),"")</f>
        <v/>
      </c>
      <c r="K310" s="29"/>
      <c r="L310" s="25"/>
      <c r="M310" s="25"/>
      <c r="N310" s="25"/>
      <c r="O310" s="25"/>
      <c r="P310" s="25"/>
      <c r="Q310" s="30"/>
      <c r="R310" s="25"/>
      <c r="S310" s="25"/>
      <c r="T310" s="25"/>
      <c r="U310" s="25"/>
      <c r="V310" s="25"/>
      <c r="W310" s="25"/>
      <c r="X310" s="25"/>
      <c r="Y310" s="25"/>
      <c r="Z310" s="31"/>
      <c r="AA310" s="2"/>
      <c r="AB310" s="2"/>
      <c r="AC310" s="2"/>
      <c r="AD310" s="2"/>
      <c r="AE310" s="2"/>
      <c r="AF310" s="2"/>
    </row>
    <row r="311" ht="22.5" customHeight="1">
      <c r="A311" s="32"/>
      <c r="B311" s="23"/>
      <c r="C311" s="23"/>
      <c r="D311" s="23"/>
      <c r="E311" s="13" t="str">
        <f t="shared" si="1"/>
        <v>+</v>
      </c>
      <c r="F311" s="23"/>
      <c r="G311" s="23"/>
      <c r="H311" s="23"/>
      <c r="I311" s="23"/>
      <c r="J311" s="33" t="str">
        <f>IFERROR(__xludf.DUMMYFUNCTION("TEXT(REGEXREPLACE(I311, ""[^0-9]"", """"), ""00000-0000000-0"")"),"")</f>
        <v/>
      </c>
      <c r="K311" s="33"/>
      <c r="L311" s="23"/>
      <c r="M311" s="23"/>
      <c r="N311" s="23"/>
      <c r="O311" s="23"/>
      <c r="P311" s="23"/>
      <c r="Q311" s="34"/>
      <c r="R311" s="23"/>
      <c r="S311" s="23"/>
      <c r="T311" s="23"/>
      <c r="U311" s="23"/>
      <c r="V311" s="23"/>
      <c r="W311" s="23"/>
      <c r="X311" s="23"/>
      <c r="Y311" s="23"/>
      <c r="Z311" s="35"/>
      <c r="AA311" s="2"/>
      <c r="AB311" s="2"/>
      <c r="AC311" s="2"/>
      <c r="AD311" s="2"/>
      <c r="AE311" s="2"/>
      <c r="AF311" s="2"/>
    </row>
    <row r="312" ht="22.5" customHeight="1">
      <c r="A312" s="28"/>
      <c r="B312" s="25"/>
      <c r="C312" s="25"/>
      <c r="D312" s="25"/>
      <c r="E312" s="4" t="str">
        <f t="shared" si="1"/>
        <v>+</v>
      </c>
      <c r="F312" s="25"/>
      <c r="G312" s="25"/>
      <c r="H312" s="25"/>
      <c r="I312" s="25"/>
      <c r="J312" s="29" t="str">
        <f>IFERROR(__xludf.DUMMYFUNCTION("TEXT(REGEXREPLACE(I312, ""[^0-9]"", """"), ""00000-0000000-0"")"),"")</f>
        <v/>
      </c>
      <c r="K312" s="29"/>
      <c r="L312" s="25"/>
      <c r="M312" s="25"/>
      <c r="N312" s="25"/>
      <c r="O312" s="25"/>
      <c r="P312" s="25"/>
      <c r="Q312" s="30"/>
      <c r="R312" s="25"/>
      <c r="S312" s="25"/>
      <c r="T312" s="25"/>
      <c r="U312" s="25"/>
      <c r="V312" s="25"/>
      <c r="W312" s="25"/>
      <c r="X312" s="25"/>
      <c r="Y312" s="25"/>
      <c r="Z312" s="31"/>
      <c r="AA312" s="2"/>
      <c r="AB312" s="2"/>
      <c r="AC312" s="2"/>
      <c r="AD312" s="2"/>
      <c r="AE312" s="2"/>
      <c r="AF312" s="2"/>
    </row>
    <row r="313" ht="22.5" customHeight="1">
      <c r="A313" s="32"/>
      <c r="B313" s="23"/>
      <c r="C313" s="23"/>
      <c r="D313" s="23"/>
      <c r="E313" s="13" t="str">
        <f t="shared" si="1"/>
        <v>+</v>
      </c>
      <c r="F313" s="23"/>
      <c r="G313" s="23"/>
      <c r="H313" s="23"/>
      <c r="I313" s="23"/>
      <c r="J313" s="33" t="str">
        <f>IFERROR(__xludf.DUMMYFUNCTION("TEXT(REGEXREPLACE(I313, ""[^0-9]"", """"), ""00000-0000000-0"")"),"")</f>
        <v/>
      </c>
      <c r="K313" s="33"/>
      <c r="L313" s="23"/>
      <c r="M313" s="23"/>
      <c r="N313" s="23"/>
      <c r="O313" s="23"/>
      <c r="P313" s="23"/>
      <c r="Q313" s="34"/>
      <c r="R313" s="23"/>
      <c r="S313" s="23"/>
      <c r="T313" s="23"/>
      <c r="U313" s="23"/>
      <c r="V313" s="23"/>
      <c r="W313" s="23"/>
      <c r="X313" s="23"/>
      <c r="Y313" s="23"/>
      <c r="Z313" s="35"/>
      <c r="AA313" s="2"/>
      <c r="AB313" s="2"/>
      <c r="AC313" s="2"/>
      <c r="AD313" s="2"/>
      <c r="AE313" s="2"/>
      <c r="AF313" s="2"/>
    </row>
    <row r="314" ht="22.5" customHeight="1">
      <c r="A314" s="28"/>
      <c r="B314" s="25"/>
      <c r="C314" s="25"/>
      <c r="D314" s="25"/>
      <c r="E314" s="4" t="str">
        <f t="shared" si="1"/>
        <v>+</v>
      </c>
      <c r="F314" s="25"/>
      <c r="G314" s="25"/>
      <c r="H314" s="25"/>
      <c r="I314" s="25"/>
      <c r="J314" s="29" t="str">
        <f>IFERROR(__xludf.DUMMYFUNCTION("TEXT(REGEXREPLACE(I314, ""[^0-9]"", """"), ""00000-0000000-0"")"),"")</f>
        <v/>
      </c>
      <c r="K314" s="29"/>
      <c r="L314" s="25"/>
      <c r="M314" s="25"/>
      <c r="N314" s="25"/>
      <c r="O314" s="25"/>
      <c r="P314" s="25"/>
      <c r="Q314" s="30"/>
      <c r="R314" s="25"/>
      <c r="S314" s="25"/>
      <c r="T314" s="25"/>
      <c r="U314" s="25"/>
      <c r="V314" s="25"/>
      <c r="W314" s="25"/>
      <c r="X314" s="25"/>
      <c r="Y314" s="25"/>
      <c r="Z314" s="31"/>
      <c r="AA314" s="2"/>
      <c r="AB314" s="2"/>
      <c r="AC314" s="2"/>
      <c r="AD314" s="2"/>
      <c r="AE314" s="2"/>
      <c r="AF314" s="2"/>
    </row>
    <row r="315" ht="22.5" customHeight="1">
      <c r="A315" s="32"/>
      <c r="B315" s="23"/>
      <c r="C315" s="23"/>
      <c r="D315" s="23"/>
      <c r="E315" s="13" t="str">
        <f t="shared" si="1"/>
        <v>+</v>
      </c>
      <c r="F315" s="23"/>
      <c r="G315" s="23"/>
      <c r="H315" s="23"/>
      <c r="I315" s="23"/>
      <c r="J315" s="33" t="str">
        <f>IFERROR(__xludf.DUMMYFUNCTION("TEXT(REGEXREPLACE(I315, ""[^0-9]"", """"), ""00000-0000000-0"")"),"")</f>
        <v/>
      </c>
      <c r="K315" s="33"/>
      <c r="L315" s="23"/>
      <c r="M315" s="23"/>
      <c r="N315" s="23"/>
      <c r="O315" s="23"/>
      <c r="P315" s="23"/>
      <c r="Q315" s="34"/>
      <c r="R315" s="23"/>
      <c r="S315" s="23"/>
      <c r="T315" s="23"/>
      <c r="U315" s="23"/>
      <c r="V315" s="23"/>
      <c r="W315" s="23"/>
      <c r="X315" s="23"/>
      <c r="Y315" s="23"/>
      <c r="Z315" s="35"/>
      <c r="AA315" s="2"/>
      <c r="AB315" s="2"/>
      <c r="AC315" s="2"/>
      <c r="AD315" s="2"/>
      <c r="AE315" s="2"/>
      <c r="AF315" s="2"/>
    </row>
    <row r="316" ht="22.5" customHeight="1">
      <c r="A316" s="28"/>
      <c r="B316" s="25"/>
      <c r="C316" s="25"/>
      <c r="D316" s="25"/>
      <c r="E316" s="4" t="str">
        <f t="shared" si="1"/>
        <v>+</v>
      </c>
      <c r="F316" s="25"/>
      <c r="G316" s="25"/>
      <c r="H316" s="25"/>
      <c r="I316" s="25"/>
      <c r="J316" s="29" t="str">
        <f>IFERROR(__xludf.DUMMYFUNCTION("TEXT(REGEXREPLACE(I316, ""[^0-9]"", """"), ""00000-0000000-0"")"),"")</f>
        <v/>
      </c>
      <c r="K316" s="29"/>
      <c r="L316" s="25"/>
      <c r="M316" s="25"/>
      <c r="N316" s="25"/>
      <c r="O316" s="25"/>
      <c r="P316" s="25"/>
      <c r="Q316" s="30"/>
      <c r="R316" s="25"/>
      <c r="S316" s="25"/>
      <c r="T316" s="25"/>
      <c r="U316" s="25"/>
      <c r="V316" s="25"/>
      <c r="W316" s="25"/>
      <c r="X316" s="25"/>
      <c r="Y316" s="25"/>
      <c r="Z316" s="31"/>
      <c r="AA316" s="2"/>
      <c r="AB316" s="2"/>
      <c r="AC316" s="2"/>
      <c r="AD316" s="2"/>
      <c r="AE316" s="2"/>
      <c r="AF316" s="2"/>
    </row>
    <row r="317" ht="22.5" customHeight="1">
      <c r="A317" s="32"/>
      <c r="B317" s="23"/>
      <c r="C317" s="23"/>
      <c r="D317" s="23"/>
      <c r="E317" s="13" t="str">
        <f t="shared" si="1"/>
        <v>+</v>
      </c>
      <c r="F317" s="23"/>
      <c r="G317" s="23"/>
      <c r="H317" s="23"/>
      <c r="I317" s="23"/>
      <c r="J317" s="33" t="str">
        <f>IFERROR(__xludf.DUMMYFUNCTION("TEXT(REGEXREPLACE(I317, ""[^0-9]"", """"), ""00000-0000000-0"")"),"")</f>
        <v/>
      </c>
      <c r="K317" s="33"/>
      <c r="L317" s="23"/>
      <c r="M317" s="23"/>
      <c r="N317" s="23"/>
      <c r="O317" s="23"/>
      <c r="P317" s="23"/>
      <c r="Q317" s="34"/>
      <c r="R317" s="23"/>
      <c r="S317" s="23"/>
      <c r="T317" s="23"/>
      <c r="U317" s="23"/>
      <c r="V317" s="23"/>
      <c r="W317" s="23"/>
      <c r="X317" s="23"/>
      <c r="Y317" s="23"/>
      <c r="Z317" s="35"/>
      <c r="AA317" s="2"/>
      <c r="AB317" s="2"/>
      <c r="AC317" s="2"/>
      <c r="AD317" s="2"/>
      <c r="AE317" s="2"/>
      <c r="AF317" s="2"/>
    </row>
    <row r="318" ht="22.5" customHeight="1">
      <c r="A318" s="28"/>
      <c r="B318" s="25"/>
      <c r="C318" s="25"/>
      <c r="D318" s="25"/>
      <c r="E318" s="4" t="str">
        <f t="shared" si="1"/>
        <v>+</v>
      </c>
      <c r="F318" s="25"/>
      <c r="G318" s="25"/>
      <c r="H318" s="25"/>
      <c r="I318" s="25"/>
      <c r="J318" s="29" t="str">
        <f>IFERROR(__xludf.DUMMYFUNCTION("TEXT(REGEXREPLACE(I318, ""[^0-9]"", """"), ""00000-0000000-0"")"),"")</f>
        <v/>
      </c>
      <c r="K318" s="29"/>
      <c r="L318" s="25"/>
      <c r="M318" s="25"/>
      <c r="N318" s="25"/>
      <c r="O318" s="25"/>
      <c r="P318" s="25"/>
      <c r="Q318" s="30"/>
      <c r="R318" s="25"/>
      <c r="S318" s="25"/>
      <c r="T318" s="25"/>
      <c r="U318" s="25"/>
      <c r="V318" s="25"/>
      <c r="W318" s="25"/>
      <c r="X318" s="25"/>
      <c r="Y318" s="25"/>
      <c r="Z318" s="31"/>
      <c r="AA318" s="2"/>
      <c r="AB318" s="2"/>
      <c r="AC318" s="2"/>
      <c r="AD318" s="2"/>
      <c r="AE318" s="2"/>
      <c r="AF318" s="2"/>
    </row>
    <row r="319" ht="22.5" customHeight="1">
      <c r="A319" s="32"/>
      <c r="B319" s="23"/>
      <c r="C319" s="23"/>
      <c r="D319" s="23"/>
      <c r="E319" s="13" t="str">
        <f t="shared" si="1"/>
        <v>+</v>
      </c>
      <c r="F319" s="23"/>
      <c r="G319" s="23"/>
      <c r="H319" s="23"/>
      <c r="I319" s="23"/>
      <c r="J319" s="33" t="str">
        <f>IFERROR(__xludf.DUMMYFUNCTION("TEXT(REGEXREPLACE(I319, ""[^0-9]"", """"), ""00000-0000000-0"")"),"")</f>
        <v/>
      </c>
      <c r="K319" s="33"/>
      <c r="L319" s="23"/>
      <c r="M319" s="23"/>
      <c r="N319" s="23"/>
      <c r="O319" s="23"/>
      <c r="P319" s="23"/>
      <c r="Q319" s="34"/>
      <c r="R319" s="23"/>
      <c r="S319" s="23"/>
      <c r="T319" s="23"/>
      <c r="U319" s="23"/>
      <c r="V319" s="23"/>
      <c r="W319" s="23"/>
      <c r="X319" s="23"/>
      <c r="Y319" s="23"/>
      <c r="Z319" s="35"/>
      <c r="AA319" s="2"/>
      <c r="AB319" s="2"/>
      <c r="AC319" s="2"/>
      <c r="AD319" s="2"/>
      <c r="AE319" s="2"/>
      <c r="AF319" s="2"/>
    </row>
    <row r="320" ht="22.5" customHeight="1">
      <c r="A320" s="28"/>
      <c r="B320" s="25"/>
      <c r="C320" s="25"/>
      <c r="D320" s="25"/>
      <c r="E320" s="4" t="str">
        <f t="shared" si="1"/>
        <v>+</v>
      </c>
      <c r="F320" s="25"/>
      <c r="G320" s="25"/>
      <c r="H320" s="25"/>
      <c r="I320" s="25"/>
      <c r="J320" s="29" t="str">
        <f>IFERROR(__xludf.DUMMYFUNCTION("TEXT(REGEXREPLACE(I320, ""[^0-9]"", """"), ""00000-0000000-0"")"),"")</f>
        <v/>
      </c>
      <c r="K320" s="29"/>
      <c r="L320" s="25"/>
      <c r="M320" s="25"/>
      <c r="N320" s="25"/>
      <c r="O320" s="25"/>
      <c r="P320" s="25"/>
      <c r="Q320" s="30"/>
      <c r="R320" s="25"/>
      <c r="S320" s="25"/>
      <c r="T320" s="25"/>
      <c r="U320" s="25"/>
      <c r="V320" s="25"/>
      <c r="W320" s="25"/>
      <c r="X320" s="25"/>
      <c r="Y320" s="25"/>
      <c r="Z320" s="31"/>
      <c r="AA320" s="2"/>
      <c r="AB320" s="2"/>
      <c r="AC320" s="2"/>
      <c r="AD320" s="2"/>
      <c r="AE320" s="2"/>
      <c r="AF320" s="2"/>
    </row>
    <row r="321" ht="22.5" customHeight="1">
      <c r="A321" s="32"/>
      <c r="B321" s="23"/>
      <c r="C321" s="23"/>
      <c r="D321" s="23"/>
      <c r="E321" s="13" t="str">
        <f t="shared" si="1"/>
        <v>+</v>
      </c>
      <c r="F321" s="23"/>
      <c r="G321" s="23"/>
      <c r="H321" s="23"/>
      <c r="I321" s="23"/>
      <c r="J321" s="33" t="str">
        <f>IFERROR(__xludf.DUMMYFUNCTION("TEXT(REGEXREPLACE(I321, ""[^0-9]"", """"), ""00000-0000000-0"")"),"")</f>
        <v/>
      </c>
      <c r="K321" s="33"/>
      <c r="L321" s="23"/>
      <c r="M321" s="23"/>
      <c r="N321" s="23"/>
      <c r="O321" s="23"/>
      <c r="P321" s="23"/>
      <c r="Q321" s="34"/>
      <c r="R321" s="23"/>
      <c r="S321" s="23"/>
      <c r="T321" s="23"/>
      <c r="U321" s="23"/>
      <c r="V321" s="23"/>
      <c r="W321" s="23"/>
      <c r="X321" s="23"/>
      <c r="Y321" s="23"/>
      <c r="Z321" s="35"/>
      <c r="AA321" s="2"/>
      <c r="AB321" s="2"/>
      <c r="AC321" s="2"/>
      <c r="AD321" s="2"/>
      <c r="AE321" s="2"/>
      <c r="AF321" s="2"/>
    </row>
    <row r="322" ht="22.5" customHeight="1">
      <c r="A322" s="28"/>
      <c r="B322" s="25"/>
      <c r="C322" s="25"/>
      <c r="D322" s="25"/>
      <c r="E322" s="4" t="str">
        <f t="shared" si="1"/>
        <v>+</v>
      </c>
      <c r="F322" s="25"/>
      <c r="G322" s="25"/>
      <c r="H322" s="25"/>
      <c r="I322" s="25"/>
      <c r="J322" s="29" t="str">
        <f>IFERROR(__xludf.DUMMYFUNCTION("TEXT(REGEXREPLACE(I322, ""[^0-9]"", """"), ""00000-0000000-0"")"),"")</f>
        <v/>
      </c>
      <c r="K322" s="29"/>
      <c r="L322" s="25"/>
      <c r="M322" s="25"/>
      <c r="N322" s="25"/>
      <c r="O322" s="25"/>
      <c r="P322" s="25"/>
      <c r="Q322" s="30"/>
      <c r="R322" s="25"/>
      <c r="S322" s="25"/>
      <c r="T322" s="25"/>
      <c r="U322" s="25"/>
      <c r="V322" s="25"/>
      <c r="W322" s="25"/>
      <c r="X322" s="25"/>
      <c r="Y322" s="25"/>
      <c r="Z322" s="31"/>
      <c r="AA322" s="2"/>
      <c r="AB322" s="2"/>
      <c r="AC322" s="2"/>
      <c r="AD322" s="2"/>
      <c r="AE322" s="2"/>
      <c r="AF322" s="2"/>
    </row>
    <row r="323" ht="22.5" customHeight="1">
      <c r="A323" s="32"/>
      <c r="B323" s="23"/>
      <c r="C323" s="23"/>
      <c r="D323" s="23"/>
      <c r="E323" s="13" t="str">
        <f t="shared" si="1"/>
        <v>+</v>
      </c>
      <c r="F323" s="23"/>
      <c r="G323" s="23"/>
      <c r="H323" s="23"/>
      <c r="I323" s="23"/>
      <c r="J323" s="33" t="str">
        <f>IFERROR(__xludf.DUMMYFUNCTION("TEXT(REGEXREPLACE(I323, ""[^0-9]"", """"), ""00000-0000000-0"")"),"")</f>
        <v/>
      </c>
      <c r="K323" s="33"/>
      <c r="L323" s="23"/>
      <c r="M323" s="23"/>
      <c r="N323" s="23"/>
      <c r="O323" s="23"/>
      <c r="P323" s="23"/>
      <c r="Q323" s="34"/>
      <c r="R323" s="23"/>
      <c r="S323" s="23"/>
      <c r="T323" s="23"/>
      <c r="U323" s="23"/>
      <c r="V323" s="23"/>
      <c r="W323" s="23"/>
      <c r="X323" s="23"/>
      <c r="Y323" s="23"/>
      <c r="Z323" s="35"/>
      <c r="AA323" s="2"/>
      <c r="AB323" s="2"/>
      <c r="AC323" s="2"/>
      <c r="AD323" s="2"/>
      <c r="AE323" s="2"/>
      <c r="AF323" s="2"/>
    </row>
    <row r="324" ht="22.5" customHeight="1">
      <c r="A324" s="28"/>
      <c r="B324" s="25"/>
      <c r="C324" s="25"/>
      <c r="D324" s="25"/>
      <c r="E324" s="4" t="str">
        <f t="shared" si="1"/>
        <v>+</v>
      </c>
      <c r="F324" s="25"/>
      <c r="G324" s="25"/>
      <c r="H324" s="25"/>
      <c r="I324" s="25"/>
      <c r="J324" s="29" t="str">
        <f>IFERROR(__xludf.DUMMYFUNCTION("TEXT(REGEXREPLACE(I324, ""[^0-9]"", """"), ""00000-0000000-0"")"),"")</f>
        <v/>
      </c>
      <c r="K324" s="29"/>
      <c r="L324" s="25"/>
      <c r="M324" s="25"/>
      <c r="N324" s="25"/>
      <c r="O324" s="25"/>
      <c r="P324" s="25"/>
      <c r="Q324" s="30"/>
      <c r="R324" s="25"/>
      <c r="S324" s="25"/>
      <c r="T324" s="25"/>
      <c r="U324" s="25"/>
      <c r="V324" s="25"/>
      <c r="W324" s="25"/>
      <c r="X324" s="25"/>
      <c r="Y324" s="25"/>
      <c r="Z324" s="31"/>
      <c r="AA324" s="2"/>
      <c r="AB324" s="2"/>
      <c r="AC324" s="2"/>
      <c r="AD324" s="2"/>
      <c r="AE324" s="2"/>
      <c r="AF324" s="2"/>
    </row>
    <row r="325" ht="22.5" customHeight="1">
      <c r="A325" s="32"/>
      <c r="B325" s="23"/>
      <c r="C325" s="23"/>
      <c r="D325" s="23"/>
      <c r="E325" s="13" t="str">
        <f t="shared" si="1"/>
        <v>+</v>
      </c>
      <c r="F325" s="23"/>
      <c r="G325" s="23"/>
      <c r="H325" s="23"/>
      <c r="I325" s="23"/>
      <c r="J325" s="33" t="str">
        <f>IFERROR(__xludf.DUMMYFUNCTION("TEXT(REGEXREPLACE(I325, ""[^0-9]"", """"), ""00000-0000000-0"")"),"")</f>
        <v/>
      </c>
      <c r="K325" s="33"/>
      <c r="L325" s="23"/>
      <c r="M325" s="23"/>
      <c r="N325" s="23"/>
      <c r="O325" s="23"/>
      <c r="P325" s="23"/>
      <c r="Q325" s="34"/>
      <c r="R325" s="23"/>
      <c r="S325" s="23"/>
      <c r="T325" s="23"/>
      <c r="U325" s="23"/>
      <c r="V325" s="23"/>
      <c r="W325" s="23"/>
      <c r="X325" s="23"/>
      <c r="Y325" s="23"/>
      <c r="Z325" s="35"/>
      <c r="AA325" s="2"/>
      <c r="AB325" s="2"/>
      <c r="AC325" s="2"/>
      <c r="AD325" s="2"/>
      <c r="AE325" s="2"/>
      <c r="AF325" s="2"/>
    </row>
    <row r="326" ht="22.5" customHeight="1">
      <c r="A326" s="28"/>
      <c r="B326" s="25"/>
      <c r="C326" s="25"/>
      <c r="D326" s="25"/>
      <c r="E326" s="4" t="str">
        <f t="shared" si="1"/>
        <v>+</v>
      </c>
      <c r="F326" s="25"/>
      <c r="G326" s="25"/>
      <c r="H326" s="25"/>
      <c r="I326" s="25"/>
      <c r="J326" s="29" t="str">
        <f>IFERROR(__xludf.DUMMYFUNCTION("TEXT(REGEXREPLACE(I326, ""[^0-9]"", """"), ""00000-0000000-0"")"),"")</f>
        <v/>
      </c>
      <c r="K326" s="29"/>
      <c r="L326" s="25"/>
      <c r="M326" s="25"/>
      <c r="N326" s="25"/>
      <c r="O326" s="25"/>
      <c r="P326" s="25"/>
      <c r="Q326" s="30"/>
      <c r="R326" s="25"/>
      <c r="S326" s="25"/>
      <c r="T326" s="25"/>
      <c r="U326" s="25"/>
      <c r="V326" s="25"/>
      <c r="W326" s="25"/>
      <c r="X326" s="25"/>
      <c r="Y326" s="25"/>
      <c r="Z326" s="31"/>
      <c r="AA326" s="2"/>
      <c r="AB326" s="2"/>
      <c r="AC326" s="2"/>
      <c r="AD326" s="2"/>
      <c r="AE326" s="2"/>
      <c r="AF326" s="2"/>
    </row>
    <row r="327" ht="22.5" customHeight="1">
      <c r="A327" s="32"/>
      <c r="B327" s="23"/>
      <c r="C327" s="23"/>
      <c r="D327" s="23"/>
      <c r="E327" s="13" t="str">
        <f t="shared" si="1"/>
        <v>+</v>
      </c>
      <c r="F327" s="23"/>
      <c r="G327" s="23"/>
      <c r="H327" s="23"/>
      <c r="I327" s="23"/>
      <c r="J327" s="33" t="str">
        <f>IFERROR(__xludf.DUMMYFUNCTION("TEXT(REGEXREPLACE(I327, ""[^0-9]"", """"), ""00000-0000000-0"")"),"")</f>
        <v/>
      </c>
      <c r="K327" s="33"/>
      <c r="L327" s="23"/>
      <c r="M327" s="23"/>
      <c r="N327" s="23"/>
      <c r="O327" s="23"/>
      <c r="P327" s="23"/>
      <c r="Q327" s="34"/>
      <c r="R327" s="23"/>
      <c r="S327" s="23"/>
      <c r="T327" s="23"/>
      <c r="U327" s="23"/>
      <c r="V327" s="23"/>
      <c r="W327" s="23"/>
      <c r="X327" s="23"/>
      <c r="Y327" s="23"/>
      <c r="Z327" s="35"/>
      <c r="AA327" s="2"/>
      <c r="AB327" s="2"/>
      <c r="AC327" s="2"/>
      <c r="AD327" s="2"/>
      <c r="AE327" s="2"/>
      <c r="AF327" s="2"/>
    </row>
    <row r="328" ht="22.5" customHeight="1">
      <c r="A328" s="28"/>
      <c r="B328" s="25"/>
      <c r="C328" s="25"/>
      <c r="D328" s="25"/>
      <c r="E328" s="4" t="str">
        <f t="shared" si="1"/>
        <v>+</v>
      </c>
      <c r="F328" s="25"/>
      <c r="G328" s="25"/>
      <c r="H328" s="25"/>
      <c r="I328" s="25"/>
      <c r="J328" s="29" t="str">
        <f>IFERROR(__xludf.DUMMYFUNCTION("TEXT(REGEXREPLACE(I328, ""[^0-9]"", """"), ""00000-0000000-0"")"),"")</f>
        <v/>
      </c>
      <c r="K328" s="29"/>
      <c r="L328" s="25"/>
      <c r="M328" s="25"/>
      <c r="N328" s="25"/>
      <c r="O328" s="25"/>
      <c r="P328" s="25"/>
      <c r="Q328" s="30"/>
      <c r="R328" s="25"/>
      <c r="S328" s="25"/>
      <c r="T328" s="25"/>
      <c r="U328" s="25"/>
      <c r="V328" s="25"/>
      <c r="W328" s="25"/>
      <c r="X328" s="25"/>
      <c r="Y328" s="25"/>
      <c r="Z328" s="31"/>
      <c r="AA328" s="2"/>
      <c r="AB328" s="2"/>
      <c r="AC328" s="2"/>
      <c r="AD328" s="2"/>
      <c r="AE328" s="2"/>
      <c r="AF328" s="2"/>
    </row>
    <row r="329" ht="22.5" customHeight="1">
      <c r="A329" s="32"/>
      <c r="B329" s="23"/>
      <c r="C329" s="23"/>
      <c r="D329" s="23"/>
      <c r="E329" s="13" t="str">
        <f t="shared" si="1"/>
        <v>+</v>
      </c>
      <c r="F329" s="23"/>
      <c r="G329" s="23"/>
      <c r="H329" s="23"/>
      <c r="I329" s="23"/>
      <c r="J329" s="33" t="str">
        <f>IFERROR(__xludf.DUMMYFUNCTION("TEXT(REGEXREPLACE(I329, ""[^0-9]"", """"), ""00000-0000000-0"")"),"")</f>
        <v/>
      </c>
      <c r="K329" s="33"/>
      <c r="L329" s="23"/>
      <c r="M329" s="23"/>
      <c r="N329" s="23"/>
      <c r="O329" s="23"/>
      <c r="P329" s="23"/>
      <c r="Q329" s="34"/>
      <c r="R329" s="23"/>
      <c r="S329" s="23"/>
      <c r="T329" s="23"/>
      <c r="U329" s="23"/>
      <c r="V329" s="23"/>
      <c r="W329" s="23"/>
      <c r="X329" s="23"/>
      <c r="Y329" s="23"/>
      <c r="Z329" s="35"/>
      <c r="AA329" s="2"/>
      <c r="AB329" s="2"/>
      <c r="AC329" s="2"/>
      <c r="AD329" s="2"/>
      <c r="AE329" s="2"/>
      <c r="AF329" s="2"/>
    </row>
    <row r="330" ht="22.5" customHeight="1">
      <c r="A330" s="28"/>
      <c r="B330" s="25"/>
      <c r="C330" s="25"/>
      <c r="D330" s="25"/>
      <c r="E330" s="4" t="str">
        <f t="shared" si="1"/>
        <v>+</v>
      </c>
      <c r="F330" s="25"/>
      <c r="G330" s="25"/>
      <c r="H330" s="25"/>
      <c r="I330" s="25"/>
      <c r="J330" s="29" t="str">
        <f>IFERROR(__xludf.DUMMYFUNCTION("TEXT(REGEXREPLACE(I330, ""[^0-9]"", """"), ""00000-0000000-0"")"),"")</f>
        <v/>
      </c>
      <c r="K330" s="29"/>
      <c r="L330" s="25"/>
      <c r="M330" s="25"/>
      <c r="N330" s="25"/>
      <c r="O330" s="25"/>
      <c r="P330" s="25"/>
      <c r="Q330" s="30"/>
      <c r="R330" s="25"/>
      <c r="S330" s="25"/>
      <c r="T330" s="25"/>
      <c r="U330" s="25"/>
      <c r="V330" s="25"/>
      <c r="W330" s="25"/>
      <c r="X330" s="25"/>
      <c r="Y330" s="25"/>
      <c r="Z330" s="31"/>
      <c r="AA330" s="2"/>
      <c r="AB330" s="2"/>
      <c r="AC330" s="2"/>
      <c r="AD330" s="2"/>
      <c r="AE330" s="2"/>
      <c r="AF330" s="2"/>
    </row>
    <row r="331" ht="22.5" customHeight="1">
      <c r="A331" s="32"/>
      <c r="B331" s="23"/>
      <c r="C331" s="23"/>
      <c r="D331" s="23"/>
      <c r="E331" s="13" t="str">
        <f t="shared" si="1"/>
        <v>+</v>
      </c>
      <c r="F331" s="23"/>
      <c r="G331" s="23"/>
      <c r="H331" s="23"/>
      <c r="I331" s="23"/>
      <c r="J331" s="33" t="str">
        <f>IFERROR(__xludf.DUMMYFUNCTION("TEXT(REGEXREPLACE(I331, ""[^0-9]"", """"), ""00000-0000000-0"")"),"")</f>
        <v/>
      </c>
      <c r="K331" s="33"/>
      <c r="L331" s="23"/>
      <c r="M331" s="23"/>
      <c r="N331" s="23"/>
      <c r="O331" s="23"/>
      <c r="P331" s="23"/>
      <c r="Q331" s="34"/>
      <c r="R331" s="23"/>
      <c r="S331" s="23"/>
      <c r="T331" s="23"/>
      <c r="U331" s="23"/>
      <c r="V331" s="23"/>
      <c r="W331" s="23"/>
      <c r="X331" s="23"/>
      <c r="Y331" s="23"/>
      <c r="Z331" s="35"/>
      <c r="AA331" s="2"/>
      <c r="AB331" s="2"/>
      <c r="AC331" s="2"/>
      <c r="AD331" s="2"/>
      <c r="AE331" s="2"/>
      <c r="AF331" s="2"/>
    </row>
    <row r="332" ht="22.5" customHeight="1">
      <c r="A332" s="28"/>
      <c r="B332" s="25"/>
      <c r="C332" s="25"/>
      <c r="D332" s="25"/>
      <c r="E332" s="4" t="str">
        <f t="shared" si="1"/>
        <v>+</v>
      </c>
      <c r="F332" s="25"/>
      <c r="G332" s="25"/>
      <c r="H332" s="25"/>
      <c r="I332" s="25"/>
      <c r="J332" s="29" t="str">
        <f>IFERROR(__xludf.DUMMYFUNCTION("TEXT(REGEXREPLACE(I332, ""[^0-9]"", """"), ""00000-0000000-0"")"),"")</f>
        <v/>
      </c>
      <c r="K332" s="29"/>
      <c r="L332" s="25"/>
      <c r="M332" s="25"/>
      <c r="N332" s="25"/>
      <c r="O332" s="25"/>
      <c r="P332" s="25"/>
      <c r="Q332" s="30"/>
      <c r="R332" s="25"/>
      <c r="S332" s="25"/>
      <c r="T332" s="25"/>
      <c r="U332" s="25"/>
      <c r="V332" s="25"/>
      <c r="W332" s="25"/>
      <c r="X332" s="25"/>
      <c r="Y332" s="25"/>
      <c r="Z332" s="31"/>
      <c r="AA332" s="2"/>
      <c r="AB332" s="2"/>
      <c r="AC332" s="2"/>
      <c r="AD332" s="2"/>
      <c r="AE332" s="2"/>
      <c r="AF332" s="2"/>
    </row>
    <row r="333" ht="22.5" customHeight="1">
      <c r="A333" s="32"/>
      <c r="B333" s="23"/>
      <c r="C333" s="23"/>
      <c r="D333" s="23"/>
      <c r="E333" s="13" t="str">
        <f t="shared" si="1"/>
        <v>+</v>
      </c>
      <c r="F333" s="23"/>
      <c r="G333" s="23"/>
      <c r="H333" s="23"/>
      <c r="I333" s="23"/>
      <c r="J333" s="33" t="str">
        <f>IFERROR(__xludf.DUMMYFUNCTION("TEXT(REGEXREPLACE(I333, ""[^0-9]"", """"), ""00000-0000000-0"")"),"")</f>
        <v/>
      </c>
      <c r="K333" s="33"/>
      <c r="L333" s="23"/>
      <c r="M333" s="23"/>
      <c r="N333" s="23"/>
      <c r="O333" s="23"/>
      <c r="P333" s="23"/>
      <c r="Q333" s="34"/>
      <c r="R333" s="23"/>
      <c r="S333" s="23"/>
      <c r="T333" s="23"/>
      <c r="U333" s="23"/>
      <c r="V333" s="23"/>
      <c r="W333" s="23"/>
      <c r="X333" s="23"/>
      <c r="Y333" s="23"/>
      <c r="Z333" s="35"/>
      <c r="AA333" s="2"/>
      <c r="AB333" s="2"/>
      <c r="AC333" s="2"/>
      <c r="AD333" s="2"/>
      <c r="AE333" s="2"/>
      <c r="AF333" s="2"/>
    </row>
    <row r="334" ht="22.5" customHeight="1">
      <c r="A334" s="28"/>
      <c r="B334" s="25"/>
      <c r="C334" s="25"/>
      <c r="D334" s="25"/>
      <c r="E334" s="4" t="str">
        <f t="shared" si="1"/>
        <v>+</v>
      </c>
      <c r="F334" s="25"/>
      <c r="G334" s="25"/>
      <c r="H334" s="25"/>
      <c r="I334" s="25"/>
      <c r="J334" s="29" t="str">
        <f>IFERROR(__xludf.DUMMYFUNCTION("TEXT(REGEXREPLACE(I334, ""[^0-9]"", """"), ""00000-0000000-0"")"),"")</f>
        <v/>
      </c>
      <c r="K334" s="29"/>
      <c r="L334" s="25"/>
      <c r="M334" s="25"/>
      <c r="N334" s="25"/>
      <c r="O334" s="25"/>
      <c r="P334" s="25"/>
      <c r="Q334" s="30"/>
      <c r="R334" s="25"/>
      <c r="S334" s="25"/>
      <c r="T334" s="25"/>
      <c r="U334" s="25"/>
      <c r="V334" s="25"/>
      <c r="W334" s="25"/>
      <c r="X334" s="25"/>
      <c r="Y334" s="25"/>
      <c r="Z334" s="31"/>
      <c r="AA334" s="2"/>
      <c r="AB334" s="2"/>
      <c r="AC334" s="2"/>
      <c r="AD334" s="2"/>
      <c r="AE334" s="2"/>
      <c r="AF334" s="2"/>
    </row>
    <row r="335" ht="22.5" customHeight="1">
      <c r="A335" s="32"/>
      <c r="B335" s="23"/>
      <c r="C335" s="23"/>
      <c r="D335" s="23"/>
      <c r="E335" s="13" t="str">
        <f t="shared" si="1"/>
        <v>+</v>
      </c>
      <c r="F335" s="23"/>
      <c r="G335" s="23"/>
      <c r="H335" s="23"/>
      <c r="I335" s="23"/>
      <c r="J335" s="33" t="str">
        <f>IFERROR(__xludf.DUMMYFUNCTION("TEXT(REGEXREPLACE(I335, ""[^0-9]"", """"), ""00000-0000000-0"")"),"")</f>
        <v/>
      </c>
      <c r="K335" s="33"/>
      <c r="L335" s="23"/>
      <c r="M335" s="23"/>
      <c r="N335" s="23"/>
      <c r="O335" s="23"/>
      <c r="P335" s="23"/>
      <c r="Q335" s="34"/>
      <c r="R335" s="23"/>
      <c r="S335" s="23"/>
      <c r="T335" s="23"/>
      <c r="U335" s="23"/>
      <c r="V335" s="23"/>
      <c r="W335" s="23"/>
      <c r="X335" s="23"/>
      <c r="Y335" s="23"/>
      <c r="Z335" s="35"/>
      <c r="AA335" s="2"/>
      <c r="AB335" s="2"/>
      <c r="AC335" s="2"/>
      <c r="AD335" s="2"/>
      <c r="AE335" s="2"/>
      <c r="AF335" s="2"/>
    </row>
    <row r="336" ht="22.5" customHeight="1">
      <c r="A336" s="28"/>
      <c r="B336" s="25"/>
      <c r="C336" s="25"/>
      <c r="D336" s="25"/>
      <c r="E336" s="4" t="str">
        <f t="shared" si="1"/>
        <v>+</v>
      </c>
      <c r="F336" s="25"/>
      <c r="G336" s="25"/>
      <c r="H336" s="25"/>
      <c r="I336" s="25"/>
      <c r="J336" s="29" t="str">
        <f>IFERROR(__xludf.DUMMYFUNCTION("TEXT(REGEXREPLACE(I336, ""[^0-9]"", """"), ""00000-0000000-0"")"),"")</f>
        <v/>
      </c>
      <c r="K336" s="29"/>
      <c r="L336" s="25"/>
      <c r="M336" s="25"/>
      <c r="N336" s="25"/>
      <c r="O336" s="25"/>
      <c r="P336" s="25"/>
      <c r="Q336" s="30"/>
      <c r="R336" s="25"/>
      <c r="S336" s="25"/>
      <c r="T336" s="25"/>
      <c r="U336" s="25"/>
      <c r="V336" s="25"/>
      <c r="W336" s="25"/>
      <c r="X336" s="25"/>
      <c r="Y336" s="25"/>
      <c r="Z336" s="31"/>
      <c r="AA336" s="2"/>
      <c r="AB336" s="2"/>
      <c r="AC336" s="2"/>
      <c r="AD336" s="2"/>
      <c r="AE336" s="2"/>
      <c r="AF336" s="2"/>
    </row>
    <row r="337" ht="22.5" customHeight="1">
      <c r="A337" s="32"/>
      <c r="B337" s="23"/>
      <c r="C337" s="23"/>
      <c r="D337" s="23"/>
      <c r="E337" s="13" t="str">
        <f t="shared" si="1"/>
        <v>+</v>
      </c>
      <c r="F337" s="23"/>
      <c r="G337" s="23"/>
      <c r="H337" s="23"/>
      <c r="I337" s="23"/>
      <c r="J337" s="33" t="str">
        <f>IFERROR(__xludf.DUMMYFUNCTION("TEXT(REGEXREPLACE(I337, ""[^0-9]"", """"), ""00000-0000000-0"")"),"")</f>
        <v/>
      </c>
      <c r="K337" s="33"/>
      <c r="L337" s="23"/>
      <c r="M337" s="23"/>
      <c r="N337" s="23"/>
      <c r="O337" s="23"/>
      <c r="P337" s="23"/>
      <c r="Q337" s="34"/>
      <c r="R337" s="23"/>
      <c r="S337" s="23"/>
      <c r="T337" s="23"/>
      <c r="U337" s="23"/>
      <c r="V337" s="23"/>
      <c r="W337" s="23"/>
      <c r="X337" s="23"/>
      <c r="Y337" s="23"/>
      <c r="Z337" s="35"/>
      <c r="AA337" s="2"/>
      <c r="AB337" s="2"/>
      <c r="AC337" s="2"/>
      <c r="AD337" s="2"/>
      <c r="AE337" s="2"/>
      <c r="AF337" s="2"/>
    </row>
    <row r="338" ht="22.5" customHeight="1">
      <c r="A338" s="28"/>
      <c r="B338" s="25"/>
      <c r="C338" s="25"/>
      <c r="D338" s="25"/>
      <c r="E338" s="4" t="str">
        <f t="shared" si="1"/>
        <v>+</v>
      </c>
      <c r="F338" s="25"/>
      <c r="G338" s="25"/>
      <c r="H338" s="25"/>
      <c r="I338" s="25"/>
      <c r="J338" s="29" t="str">
        <f>IFERROR(__xludf.DUMMYFUNCTION("TEXT(REGEXREPLACE(I338, ""[^0-9]"", """"), ""00000-0000000-0"")"),"")</f>
        <v/>
      </c>
      <c r="K338" s="29"/>
      <c r="L338" s="25"/>
      <c r="M338" s="25"/>
      <c r="N338" s="25"/>
      <c r="O338" s="25"/>
      <c r="P338" s="25"/>
      <c r="Q338" s="30"/>
      <c r="R338" s="25"/>
      <c r="S338" s="25"/>
      <c r="T338" s="25"/>
      <c r="U338" s="25"/>
      <c r="V338" s="25"/>
      <c r="W338" s="25"/>
      <c r="X338" s="25"/>
      <c r="Y338" s="25"/>
      <c r="Z338" s="31"/>
      <c r="AA338" s="2"/>
      <c r="AB338" s="2"/>
      <c r="AC338" s="2"/>
      <c r="AD338" s="2"/>
      <c r="AE338" s="2"/>
      <c r="AF338" s="2"/>
    </row>
    <row r="339" ht="22.5" customHeight="1">
      <c r="A339" s="32"/>
      <c r="B339" s="23"/>
      <c r="C339" s="23"/>
      <c r="D339" s="23"/>
      <c r="E339" s="13" t="str">
        <f t="shared" si="1"/>
        <v>+</v>
      </c>
      <c r="F339" s="23"/>
      <c r="G339" s="23"/>
      <c r="H339" s="23"/>
      <c r="I339" s="23"/>
      <c r="J339" s="33" t="str">
        <f>IFERROR(__xludf.DUMMYFUNCTION("TEXT(REGEXREPLACE(I339, ""[^0-9]"", """"), ""00000-0000000-0"")"),"")</f>
        <v/>
      </c>
      <c r="K339" s="33"/>
      <c r="L339" s="23"/>
      <c r="M339" s="23"/>
      <c r="N339" s="23"/>
      <c r="O339" s="23"/>
      <c r="P339" s="23"/>
      <c r="Q339" s="34"/>
      <c r="R339" s="23"/>
      <c r="S339" s="23"/>
      <c r="T339" s="23"/>
      <c r="U339" s="23"/>
      <c r="V339" s="23"/>
      <c r="W339" s="23"/>
      <c r="X339" s="23"/>
      <c r="Y339" s="23"/>
      <c r="Z339" s="35"/>
      <c r="AA339" s="2"/>
      <c r="AB339" s="2"/>
      <c r="AC339" s="2"/>
      <c r="AD339" s="2"/>
      <c r="AE339" s="2"/>
      <c r="AF339" s="2"/>
    </row>
    <row r="340" ht="22.5" customHeight="1">
      <c r="A340" s="28"/>
      <c r="B340" s="25"/>
      <c r="C340" s="25"/>
      <c r="D340" s="25"/>
      <c r="E340" s="4" t="str">
        <f t="shared" si="1"/>
        <v>+</v>
      </c>
      <c r="F340" s="25"/>
      <c r="G340" s="25"/>
      <c r="H340" s="25"/>
      <c r="I340" s="25"/>
      <c r="J340" s="29" t="str">
        <f>IFERROR(__xludf.DUMMYFUNCTION("TEXT(REGEXREPLACE(I340, ""[^0-9]"", """"), ""00000-0000000-0"")"),"")</f>
        <v/>
      </c>
      <c r="K340" s="29"/>
      <c r="L340" s="25"/>
      <c r="M340" s="25"/>
      <c r="N340" s="25"/>
      <c r="O340" s="25"/>
      <c r="P340" s="25"/>
      <c r="Q340" s="30"/>
      <c r="R340" s="25"/>
      <c r="S340" s="25"/>
      <c r="T340" s="25"/>
      <c r="U340" s="25"/>
      <c r="V340" s="25"/>
      <c r="W340" s="25"/>
      <c r="X340" s="25"/>
      <c r="Y340" s="25"/>
      <c r="Z340" s="31"/>
      <c r="AA340" s="2"/>
      <c r="AB340" s="2"/>
      <c r="AC340" s="2"/>
      <c r="AD340" s="2"/>
      <c r="AE340" s="2"/>
      <c r="AF340" s="2"/>
    </row>
    <row r="341" ht="22.5" customHeight="1">
      <c r="A341" s="32"/>
      <c r="B341" s="23"/>
      <c r="C341" s="23"/>
      <c r="D341" s="23"/>
      <c r="E341" s="13" t="str">
        <f t="shared" si="1"/>
        <v>+</v>
      </c>
      <c r="F341" s="23"/>
      <c r="G341" s="23"/>
      <c r="H341" s="23"/>
      <c r="I341" s="23"/>
      <c r="J341" s="33" t="str">
        <f>IFERROR(__xludf.DUMMYFUNCTION("TEXT(REGEXREPLACE(I341, ""[^0-9]"", """"), ""00000-0000000-0"")"),"")</f>
        <v/>
      </c>
      <c r="K341" s="33"/>
      <c r="L341" s="23"/>
      <c r="M341" s="23"/>
      <c r="N341" s="23"/>
      <c r="O341" s="23"/>
      <c r="P341" s="23"/>
      <c r="Q341" s="34"/>
      <c r="R341" s="23"/>
      <c r="S341" s="23"/>
      <c r="T341" s="23"/>
      <c r="U341" s="23"/>
      <c r="V341" s="23"/>
      <c r="W341" s="23"/>
      <c r="X341" s="23"/>
      <c r="Y341" s="23"/>
      <c r="Z341" s="35"/>
      <c r="AA341" s="2"/>
      <c r="AB341" s="2"/>
      <c r="AC341" s="2"/>
      <c r="AD341" s="2"/>
      <c r="AE341" s="2"/>
      <c r="AF341" s="2"/>
    </row>
    <row r="342" ht="22.5" customHeight="1">
      <c r="A342" s="28"/>
      <c r="B342" s="25"/>
      <c r="C342" s="25"/>
      <c r="D342" s="25"/>
      <c r="E342" s="4" t="str">
        <f t="shared" si="1"/>
        <v>+</v>
      </c>
      <c r="F342" s="25"/>
      <c r="G342" s="25"/>
      <c r="H342" s="25"/>
      <c r="I342" s="25"/>
      <c r="J342" s="29" t="str">
        <f>IFERROR(__xludf.DUMMYFUNCTION("TEXT(REGEXREPLACE(I342, ""[^0-9]"", """"), ""00000-0000000-0"")"),"")</f>
        <v/>
      </c>
      <c r="K342" s="29"/>
      <c r="L342" s="25"/>
      <c r="M342" s="25"/>
      <c r="N342" s="25"/>
      <c r="O342" s="25"/>
      <c r="P342" s="25"/>
      <c r="Q342" s="30"/>
      <c r="R342" s="25"/>
      <c r="S342" s="25"/>
      <c r="T342" s="25"/>
      <c r="U342" s="25"/>
      <c r="V342" s="25"/>
      <c r="W342" s="25"/>
      <c r="X342" s="25"/>
      <c r="Y342" s="25"/>
      <c r="Z342" s="31"/>
      <c r="AA342" s="2"/>
      <c r="AB342" s="2"/>
      <c r="AC342" s="2"/>
      <c r="AD342" s="2"/>
      <c r="AE342" s="2"/>
      <c r="AF342" s="2"/>
    </row>
    <row r="343" ht="22.5" customHeight="1">
      <c r="A343" s="32"/>
      <c r="B343" s="23"/>
      <c r="C343" s="23"/>
      <c r="D343" s="23"/>
      <c r="E343" s="13" t="str">
        <f t="shared" si="1"/>
        <v>+</v>
      </c>
      <c r="F343" s="23"/>
      <c r="G343" s="23"/>
      <c r="H343" s="23"/>
      <c r="I343" s="23"/>
      <c r="J343" s="33" t="str">
        <f>IFERROR(__xludf.DUMMYFUNCTION("TEXT(REGEXREPLACE(I343, ""[^0-9]"", """"), ""00000-0000000-0"")"),"")</f>
        <v/>
      </c>
      <c r="K343" s="33"/>
      <c r="L343" s="23"/>
      <c r="M343" s="23"/>
      <c r="N343" s="23"/>
      <c r="O343" s="23"/>
      <c r="P343" s="23"/>
      <c r="Q343" s="34"/>
      <c r="R343" s="23"/>
      <c r="S343" s="23"/>
      <c r="T343" s="23"/>
      <c r="U343" s="23"/>
      <c r="V343" s="23"/>
      <c r="W343" s="23"/>
      <c r="X343" s="23"/>
      <c r="Y343" s="23"/>
      <c r="Z343" s="35"/>
      <c r="AA343" s="2"/>
      <c r="AB343" s="2"/>
      <c r="AC343" s="2"/>
      <c r="AD343" s="2"/>
      <c r="AE343" s="2"/>
      <c r="AF343" s="2"/>
    </row>
    <row r="344" ht="22.5" customHeight="1">
      <c r="A344" s="28"/>
      <c r="B344" s="25"/>
      <c r="C344" s="25"/>
      <c r="D344" s="25"/>
      <c r="E344" s="4" t="str">
        <f t="shared" si="1"/>
        <v>+</v>
      </c>
      <c r="F344" s="25"/>
      <c r="G344" s="25"/>
      <c r="H344" s="25"/>
      <c r="I344" s="25"/>
      <c r="J344" s="29" t="str">
        <f>IFERROR(__xludf.DUMMYFUNCTION("TEXT(REGEXREPLACE(I344, ""[^0-9]"", """"), ""00000-0000000-0"")"),"")</f>
        <v/>
      </c>
      <c r="K344" s="29"/>
      <c r="L344" s="25"/>
      <c r="M344" s="25"/>
      <c r="N344" s="25"/>
      <c r="O344" s="25"/>
      <c r="P344" s="25"/>
      <c r="Q344" s="30"/>
      <c r="R344" s="25"/>
      <c r="S344" s="25"/>
      <c r="T344" s="25"/>
      <c r="U344" s="25"/>
      <c r="V344" s="25"/>
      <c r="W344" s="25"/>
      <c r="X344" s="25"/>
      <c r="Y344" s="25"/>
      <c r="Z344" s="31"/>
      <c r="AA344" s="2"/>
      <c r="AB344" s="2"/>
      <c r="AC344" s="2"/>
      <c r="AD344" s="2"/>
      <c r="AE344" s="2"/>
      <c r="AF344" s="2"/>
    </row>
    <row r="345" ht="22.5" customHeight="1">
      <c r="A345" s="32"/>
      <c r="B345" s="23"/>
      <c r="C345" s="23"/>
      <c r="D345" s="23"/>
      <c r="E345" s="13" t="str">
        <f t="shared" si="1"/>
        <v>+</v>
      </c>
      <c r="F345" s="23"/>
      <c r="G345" s="23"/>
      <c r="H345" s="23"/>
      <c r="I345" s="23"/>
      <c r="J345" s="33" t="str">
        <f>IFERROR(__xludf.DUMMYFUNCTION("TEXT(REGEXREPLACE(I345, ""[^0-9]"", """"), ""00000-0000000-0"")"),"")</f>
        <v/>
      </c>
      <c r="K345" s="33"/>
      <c r="L345" s="23"/>
      <c r="M345" s="23"/>
      <c r="N345" s="23"/>
      <c r="O345" s="23"/>
      <c r="P345" s="23"/>
      <c r="Q345" s="34"/>
      <c r="R345" s="23"/>
      <c r="S345" s="23"/>
      <c r="T345" s="23"/>
      <c r="U345" s="23"/>
      <c r="V345" s="23"/>
      <c r="W345" s="23"/>
      <c r="X345" s="23"/>
      <c r="Y345" s="23"/>
      <c r="Z345" s="35"/>
      <c r="AA345" s="2"/>
      <c r="AB345" s="2"/>
      <c r="AC345" s="2"/>
      <c r="AD345" s="2"/>
      <c r="AE345" s="2"/>
      <c r="AF345" s="2"/>
    </row>
    <row r="346" ht="22.5" customHeight="1">
      <c r="A346" s="28"/>
      <c r="B346" s="25"/>
      <c r="C346" s="25"/>
      <c r="D346" s="25"/>
      <c r="E346" s="4" t="str">
        <f t="shared" si="1"/>
        <v>+</v>
      </c>
      <c r="F346" s="25"/>
      <c r="G346" s="25"/>
      <c r="H346" s="25"/>
      <c r="I346" s="25"/>
      <c r="J346" s="29" t="str">
        <f>IFERROR(__xludf.DUMMYFUNCTION("TEXT(REGEXREPLACE(I346, ""[^0-9]"", """"), ""00000-0000000-0"")"),"")</f>
        <v/>
      </c>
      <c r="K346" s="29"/>
      <c r="L346" s="25"/>
      <c r="M346" s="25"/>
      <c r="N346" s="25"/>
      <c r="O346" s="25"/>
      <c r="P346" s="25"/>
      <c r="Q346" s="30"/>
      <c r="R346" s="25"/>
      <c r="S346" s="25"/>
      <c r="T346" s="25"/>
      <c r="U346" s="25"/>
      <c r="V346" s="25"/>
      <c r="W346" s="25"/>
      <c r="X346" s="25"/>
      <c r="Y346" s="25"/>
      <c r="Z346" s="31"/>
      <c r="AA346" s="2"/>
      <c r="AB346" s="2"/>
      <c r="AC346" s="2"/>
      <c r="AD346" s="2"/>
      <c r="AE346" s="2"/>
      <c r="AF346" s="2"/>
    </row>
    <row r="347" ht="22.5" customHeight="1">
      <c r="A347" s="32"/>
      <c r="B347" s="23"/>
      <c r="C347" s="23"/>
      <c r="D347" s="23"/>
      <c r="E347" s="13" t="str">
        <f t="shared" si="1"/>
        <v>+</v>
      </c>
      <c r="F347" s="23"/>
      <c r="G347" s="23"/>
      <c r="H347" s="23"/>
      <c r="I347" s="23"/>
      <c r="J347" s="33" t="str">
        <f>IFERROR(__xludf.DUMMYFUNCTION("TEXT(REGEXREPLACE(I347, ""[^0-9]"", """"), ""00000-0000000-0"")"),"")</f>
        <v/>
      </c>
      <c r="K347" s="33"/>
      <c r="L347" s="23"/>
      <c r="M347" s="23"/>
      <c r="N347" s="23"/>
      <c r="O347" s="23"/>
      <c r="P347" s="23"/>
      <c r="Q347" s="34"/>
      <c r="R347" s="23"/>
      <c r="S347" s="23"/>
      <c r="T347" s="23"/>
      <c r="U347" s="23"/>
      <c r="V347" s="23"/>
      <c r="W347" s="23"/>
      <c r="X347" s="23"/>
      <c r="Y347" s="23"/>
      <c r="Z347" s="35"/>
      <c r="AA347" s="2"/>
      <c r="AB347" s="2"/>
      <c r="AC347" s="2"/>
      <c r="AD347" s="2"/>
      <c r="AE347" s="2"/>
      <c r="AF347" s="2"/>
    </row>
    <row r="348" ht="22.5" customHeight="1">
      <c r="A348" s="28"/>
      <c r="B348" s="25"/>
      <c r="C348" s="25"/>
      <c r="D348" s="25"/>
      <c r="E348" s="4" t="str">
        <f t="shared" si="1"/>
        <v>+</v>
      </c>
      <c r="F348" s="25"/>
      <c r="G348" s="25"/>
      <c r="H348" s="25"/>
      <c r="I348" s="25"/>
      <c r="J348" s="29" t="str">
        <f>IFERROR(__xludf.DUMMYFUNCTION("TEXT(REGEXREPLACE(I348, ""[^0-9]"", """"), ""00000-0000000-0"")"),"")</f>
        <v/>
      </c>
      <c r="K348" s="29"/>
      <c r="L348" s="25"/>
      <c r="M348" s="25"/>
      <c r="N348" s="25"/>
      <c r="O348" s="25"/>
      <c r="P348" s="25"/>
      <c r="Q348" s="30"/>
      <c r="R348" s="25"/>
      <c r="S348" s="25"/>
      <c r="T348" s="25"/>
      <c r="U348" s="25"/>
      <c r="V348" s="25"/>
      <c r="W348" s="25"/>
      <c r="X348" s="25"/>
      <c r="Y348" s="25"/>
      <c r="Z348" s="31"/>
      <c r="AA348" s="2"/>
      <c r="AB348" s="2"/>
      <c r="AC348" s="2"/>
      <c r="AD348" s="2"/>
      <c r="AE348" s="2"/>
      <c r="AF348" s="2"/>
    </row>
    <row r="349" ht="22.5" customHeight="1">
      <c r="A349" s="32"/>
      <c r="B349" s="23"/>
      <c r="C349" s="23"/>
      <c r="D349" s="23"/>
      <c r="E349" s="13" t="str">
        <f t="shared" si="1"/>
        <v>+</v>
      </c>
      <c r="F349" s="23"/>
      <c r="G349" s="23"/>
      <c r="H349" s="23"/>
      <c r="I349" s="23"/>
      <c r="J349" s="33" t="str">
        <f>IFERROR(__xludf.DUMMYFUNCTION("TEXT(REGEXREPLACE(I349, ""[^0-9]"", """"), ""00000-0000000-0"")"),"")</f>
        <v/>
      </c>
      <c r="K349" s="33"/>
      <c r="L349" s="23"/>
      <c r="M349" s="23"/>
      <c r="N349" s="23"/>
      <c r="O349" s="23"/>
      <c r="P349" s="23"/>
      <c r="Q349" s="34"/>
      <c r="R349" s="23"/>
      <c r="S349" s="23"/>
      <c r="T349" s="23"/>
      <c r="U349" s="23"/>
      <c r="V349" s="23"/>
      <c r="W349" s="23"/>
      <c r="X349" s="23"/>
      <c r="Y349" s="23"/>
      <c r="Z349" s="35"/>
      <c r="AA349" s="2"/>
      <c r="AB349" s="2"/>
      <c r="AC349" s="2"/>
      <c r="AD349" s="2"/>
      <c r="AE349" s="2"/>
      <c r="AF349" s="2"/>
    </row>
    <row r="350" ht="22.5" customHeight="1">
      <c r="A350" s="28"/>
      <c r="B350" s="25"/>
      <c r="C350" s="25"/>
      <c r="D350" s="25"/>
      <c r="E350" s="4" t="str">
        <f t="shared" si="1"/>
        <v>+</v>
      </c>
      <c r="F350" s="25"/>
      <c r="G350" s="25"/>
      <c r="H350" s="25"/>
      <c r="I350" s="25"/>
      <c r="J350" s="29" t="str">
        <f>IFERROR(__xludf.DUMMYFUNCTION("TEXT(REGEXREPLACE(I350, ""[^0-9]"", """"), ""00000-0000000-0"")"),"")</f>
        <v/>
      </c>
      <c r="K350" s="29"/>
      <c r="L350" s="25"/>
      <c r="M350" s="25"/>
      <c r="N350" s="25"/>
      <c r="O350" s="25"/>
      <c r="P350" s="25"/>
      <c r="Q350" s="30"/>
      <c r="R350" s="25"/>
      <c r="S350" s="25"/>
      <c r="T350" s="25"/>
      <c r="U350" s="25"/>
      <c r="V350" s="25"/>
      <c r="W350" s="25"/>
      <c r="X350" s="25"/>
      <c r="Y350" s="25"/>
      <c r="Z350" s="31"/>
      <c r="AA350" s="2"/>
      <c r="AB350" s="2"/>
      <c r="AC350" s="2"/>
      <c r="AD350" s="2"/>
      <c r="AE350" s="2"/>
      <c r="AF350" s="2"/>
    </row>
    <row r="351" ht="22.5" customHeight="1">
      <c r="A351" s="32"/>
      <c r="B351" s="23"/>
      <c r="C351" s="23"/>
      <c r="D351" s="23"/>
      <c r="E351" s="13" t="str">
        <f t="shared" si="1"/>
        <v>+</v>
      </c>
      <c r="F351" s="23"/>
      <c r="G351" s="23"/>
      <c r="H351" s="23"/>
      <c r="I351" s="23"/>
      <c r="J351" s="33" t="str">
        <f>IFERROR(__xludf.DUMMYFUNCTION("TEXT(REGEXREPLACE(I351, ""[^0-9]"", """"), ""00000-0000000-0"")"),"")</f>
        <v/>
      </c>
      <c r="K351" s="33"/>
      <c r="L351" s="23"/>
      <c r="M351" s="23"/>
      <c r="N351" s="23"/>
      <c r="O351" s="23"/>
      <c r="P351" s="23"/>
      <c r="Q351" s="34"/>
      <c r="R351" s="23"/>
      <c r="S351" s="23"/>
      <c r="T351" s="23"/>
      <c r="U351" s="23"/>
      <c r="V351" s="23"/>
      <c r="W351" s="23"/>
      <c r="X351" s="23"/>
      <c r="Y351" s="23"/>
      <c r="Z351" s="35"/>
      <c r="AA351" s="2"/>
      <c r="AB351" s="2"/>
      <c r="AC351" s="2"/>
      <c r="AD351" s="2"/>
      <c r="AE351" s="2"/>
      <c r="AF351" s="2"/>
    </row>
    <row r="352" ht="22.5" customHeight="1">
      <c r="A352" s="28"/>
      <c r="B352" s="25"/>
      <c r="C352" s="25"/>
      <c r="D352" s="25"/>
      <c r="E352" s="4" t="str">
        <f t="shared" si="1"/>
        <v>+</v>
      </c>
      <c r="F352" s="25"/>
      <c r="G352" s="25"/>
      <c r="H352" s="25"/>
      <c r="I352" s="25"/>
      <c r="J352" s="29" t="str">
        <f>IFERROR(__xludf.DUMMYFUNCTION("TEXT(REGEXREPLACE(I352, ""[^0-9]"", """"), ""00000-0000000-0"")"),"")</f>
        <v/>
      </c>
      <c r="K352" s="29"/>
      <c r="L352" s="25"/>
      <c r="M352" s="25"/>
      <c r="N352" s="25"/>
      <c r="O352" s="25"/>
      <c r="P352" s="25"/>
      <c r="Q352" s="30"/>
      <c r="R352" s="25"/>
      <c r="S352" s="25"/>
      <c r="T352" s="25"/>
      <c r="U352" s="25"/>
      <c r="V352" s="25"/>
      <c r="W352" s="25"/>
      <c r="X352" s="25"/>
      <c r="Y352" s="25"/>
      <c r="Z352" s="31"/>
      <c r="AA352" s="2"/>
      <c r="AB352" s="2"/>
      <c r="AC352" s="2"/>
      <c r="AD352" s="2"/>
      <c r="AE352" s="2"/>
      <c r="AF352" s="2"/>
    </row>
    <row r="353" ht="22.5" customHeight="1">
      <c r="A353" s="32"/>
      <c r="B353" s="23"/>
      <c r="C353" s="23"/>
      <c r="D353" s="23"/>
      <c r="E353" s="13" t="str">
        <f t="shared" si="1"/>
        <v>+</v>
      </c>
      <c r="F353" s="23"/>
      <c r="G353" s="23"/>
      <c r="H353" s="23"/>
      <c r="I353" s="23"/>
      <c r="J353" s="33" t="str">
        <f>IFERROR(__xludf.DUMMYFUNCTION("TEXT(REGEXREPLACE(I353, ""[^0-9]"", """"), ""00000-0000000-0"")"),"")</f>
        <v/>
      </c>
      <c r="K353" s="33"/>
      <c r="L353" s="23"/>
      <c r="M353" s="23"/>
      <c r="N353" s="23"/>
      <c r="O353" s="23"/>
      <c r="P353" s="23"/>
      <c r="Q353" s="34"/>
      <c r="R353" s="23"/>
      <c r="S353" s="23"/>
      <c r="T353" s="23"/>
      <c r="U353" s="23"/>
      <c r="V353" s="23"/>
      <c r="W353" s="23"/>
      <c r="X353" s="23"/>
      <c r="Y353" s="23"/>
      <c r="Z353" s="35"/>
      <c r="AA353" s="2"/>
      <c r="AB353" s="2"/>
      <c r="AC353" s="2"/>
      <c r="AD353" s="2"/>
      <c r="AE353" s="2"/>
      <c r="AF353" s="2"/>
    </row>
    <row r="354" ht="22.5" customHeight="1">
      <c r="A354" s="28"/>
      <c r="B354" s="25"/>
      <c r="C354" s="25"/>
      <c r="D354" s="25"/>
      <c r="E354" s="4" t="str">
        <f t="shared" si="1"/>
        <v>+</v>
      </c>
      <c r="F354" s="25"/>
      <c r="G354" s="25"/>
      <c r="H354" s="25"/>
      <c r="I354" s="25"/>
      <c r="J354" s="29" t="str">
        <f>IFERROR(__xludf.DUMMYFUNCTION("TEXT(REGEXREPLACE(I354, ""[^0-9]"", """"), ""00000-0000000-0"")"),"")</f>
        <v/>
      </c>
      <c r="K354" s="29"/>
      <c r="L354" s="25"/>
      <c r="M354" s="25"/>
      <c r="N354" s="25"/>
      <c r="O354" s="25"/>
      <c r="P354" s="25"/>
      <c r="Q354" s="30"/>
      <c r="R354" s="25"/>
      <c r="S354" s="25"/>
      <c r="T354" s="25"/>
      <c r="U354" s="25"/>
      <c r="V354" s="25"/>
      <c r="W354" s="25"/>
      <c r="X354" s="25"/>
      <c r="Y354" s="25"/>
      <c r="Z354" s="31"/>
      <c r="AA354" s="2"/>
      <c r="AB354" s="2"/>
      <c r="AC354" s="2"/>
      <c r="AD354" s="2"/>
      <c r="AE354" s="2"/>
      <c r="AF354" s="2"/>
    </row>
    <row r="355" ht="22.5" customHeight="1">
      <c r="A355" s="32"/>
      <c r="B355" s="23"/>
      <c r="C355" s="23"/>
      <c r="D355" s="23"/>
      <c r="E355" s="13" t="str">
        <f t="shared" si="1"/>
        <v>+</v>
      </c>
      <c r="F355" s="23"/>
      <c r="G355" s="23"/>
      <c r="H355" s="23"/>
      <c r="I355" s="23"/>
      <c r="J355" s="33" t="str">
        <f>IFERROR(__xludf.DUMMYFUNCTION("TEXT(REGEXREPLACE(I355, ""[^0-9]"", """"), ""00000-0000000-0"")"),"")</f>
        <v/>
      </c>
      <c r="K355" s="33"/>
      <c r="L355" s="23"/>
      <c r="M355" s="23"/>
      <c r="N355" s="23"/>
      <c r="O355" s="23"/>
      <c r="P355" s="23"/>
      <c r="Q355" s="34"/>
      <c r="R355" s="23"/>
      <c r="S355" s="23"/>
      <c r="T355" s="23"/>
      <c r="U355" s="23"/>
      <c r="V355" s="23"/>
      <c r="W355" s="23"/>
      <c r="X355" s="23"/>
      <c r="Y355" s="23"/>
      <c r="Z355" s="35"/>
      <c r="AA355" s="2"/>
      <c r="AB355" s="2"/>
      <c r="AC355" s="2"/>
      <c r="AD355" s="2"/>
      <c r="AE355" s="2"/>
      <c r="AF355" s="2"/>
    </row>
    <row r="356" ht="22.5" customHeight="1">
      <c r="A356" s="28"/>
      <c r="B356" s="25"/>
      <c r="C356" s="25"/>
      <c r="D356" s="25"/>
      <c r="E356" s="4" t="str">
        <f t="shared" si="1"/>
        <v>+</v>
      </c>
      <c r="F356" s="25"/>
      <c r="G356" s="25"/>
      <c r="H356" s="25"/>
      <c r="I356" s="25"/>
      <c r="J356" s="29" t="str">
        <f>IFERROR(__xludf.DUMMYFUNCTION("TEXT(REGEXREPLACE(I356, ""[^0-9]"", """"), ""00000-0000000-0"")"),"")</f>
        <v/>
      </c>
      <c r="K356" s="29"/>
      <c r="L356" s="25"/>
      <c r="M356" s="25"/>
      <c r="N356" s="25"/>
      <c r="O356" s="25"/>
      <c r="P356" s="25"/>
      <c r="Q356" s="30"/>
      <c r="R356" s="25"/>
      <c r="S356" s="25"/>
      <c r="T356" s="25"/>
      <c r="U356" s="25"/>
      <c r="V356" s="25"/>
      <c r="W356" s="25"/>
      <c r="X356" s="25"/>
      <c r="Y356" s="25"/>
      <c r="Z356" s="31"/>
      <c r="AA356" s="2"/>
      <c r="AB356" s="2"/>
      <c r="AC356" s="2"/>
      <c r="AD356" s="2"/>
      <c r="AE356" s="2"/>
      <c r="AF356" s="2"/>
    </row>
    <row r="357" ht="22.5" customHeight="1">
      <c r="A357" s="32"/>
      <c r="B357" s="23"/>
      <c r="C357" s="23"/>
      <c r="D357" s="23"/>
      <c r="E357" s="13" t="str">
        <f t="shared" si="1"/>
        <v>+</v>
      </c>
      <c r="F357" s="23"/>
      <c r="G357" s="23"/>
      <c r="H357" s="23"/>
      <c r="I357" s="23"/>
      <c r="J357" s="33" t="str">
        <f>IFERROR(__xludf.DUMMYFUNCTION("TEXT(REGEXREPLACE(I357, ""[^0-9]"", """"), ""00000-0000000-0"")"),"")</f>
        <v/>
      </c>
      <c r="K357" s="33"/>
      <c r="L357" s="23"/>
      <c r="M357" s="23"/>
      <c r="N357" s="23"/>
      <c r="O357" s="23"/>
      <c r="P357" s="23"/>
      <c r="Q357" s="34"/>
      <c r="R357" s="23"/>
      <c r="S357" s="23"/>
      <c r="T357" s="23"/>
      <c r="U357" s="23"/>
      <c r="V357" s="23"/>
      <c r="W357" s="23"/>
      <c r="X357" s="23"/>
      <c r="Y357" s="23"/>
      <c r="Z357" s="35"/>
      <c r="AA357" s="2"/>
      <c r="AB357" s="2"/>
      <c r="AC357" s="2"/>
      <c r="AD357" s="2"/>
      <c r="AE357" s="2"/>
      <c r="AF357" s="2"/>
    </row>
    <row r="358" ht="22.5" customHeight="1">
      <c r="A358" s="28"/>
      <c r="B358" s="25"/>
      <c r="C358" s="25"/>
      <c r="D358" s="25"/>
      <c r="E358" s="4" t="str">
        <f t="shared" si="1"/>
        <v>+</v>
      </c>
      <c r="F358" s="25"/>
      <c r="G358" s="25"/>
      <c r="H358" s="25"/>
      <c r="I358" s="25"/>
      <c r="J358" s="29" t="str">
        <f>IFERROR(__xludf.DUMMYFUNCTION("TEXT(REGEXREPLACE(I358, ""[^0-9]"", """"), ""00000-0000000-0"")"),"")</f>
        <v/>
      </c>
      <c r="K358" s="29"/>
      <c r="L358" s="25"/>
      <c r="M358" s="25"/>
      <c r="N358" s="25"/>
      <c r="O358" s="25"/>
      <c r="P358" s="25"/>
      <c r="Q358" s="30"/>
      <c r="R358" s="25"/>
      <c r="S358" s="25"/>
      <c r="T358" s="25"/>
      <c r="U358" s="25"/>
      <c r="V358" s="25"/>
      <c r="W358" s="25"/>
      <c r="X358" s="25"/>
      <c r="Y358" s="25"/>
      <c r="Z358" s="31"/>
      <c r="AA358" s="2"/>
      <c r="AB358" s="2"/>
      <c r="AC358" s="2"/>
      <c r="AD358" s="2"/>
      <c r="AE358" s="2"/>
      <c r="AF358" s="2"/>
    </row>
    <row r="359" ht="22.5" customHeight="1">
      <c r="A359" s="32"/>
      <c r="B359" s="23"/>
      <c r="C359" s="23"/>
      <c r="D359" s="23"/>
      <c r="E359" s="13" t="str">
        <f t="shared" si="1"/>
        <v>+</v>
      </c>
      <c r="F359" s="23"/>
      <c r="G359" s="23"/>
      <c r="H359" s="23"/>
      <c r="I359" s="23"/>
      <c r="J359" s="33" t="str">
        <f>IFERROR(__xludf.DUMMYFUNCTION("TEXT(REGEXREPLACE(I359, ""[^0-9]"", """"), ""00000-0000000-0"")"),"")</f>
        <v/>
      </c>
      <c r="K359" s="33"/>
      <c r="L359" s="23"/>
      <c r="M359" s="23"/>
      <c r="N359" s="23"/>
      <c r="O359" s="23"/>
      <c r="P359" s="23"/>
      <c r="Q359" s="34"/>
      <c r="R359" s="23"/>
      <c r="S359" s="23"/>
      <c r="T359" s="23"/>
      <c r="U359" s="23"/>
      <c r="V359" s="23"/>
      <c r="W359" s="23"/>
      <c r="X359" s="23"/>
      <c r="Y359" s="23"/>
      <c r="Z359" s="35"/>
      <c r="AA359" s="2"/>
      <c r="AB359" s="2"/>
      <c r="AC359" s="2"/>
      <c r="AD359" s="2"/>
      <c r="AE359" s="2"/>
      <c r="AF359" s="2"/>
    </row>
    <row r="360" ht="22.5" customHeight="1">
      <c r="A360" s="28"/>
      <c r="B360" s="25"/>
      <c r="C360" s="25"/>
      <c r="D360" s="25"/>
      <c r="E360" s="4" t="str">
        <f t="shared" si="1"/>
        <v>+</v>
      </c>
      <c r="F360" s="25"/>
      <c r="G360" s="25"/>
      <c r="H360" s="25"/>
      <c r="I360" s="25"/>
      <c r="J360" s="29" t="str">
        <f>IFERROR(__xludf.DUMMYFUNCTION("TEXT(REGEXREPLACE(I360, ""[^0-9]"", """"), ""00000-0000000-0"")"),"")</f>
        <v/>
      </c>
      <c r="K360" s="29"/>
      <c r="L360" s="25"/>
      <c r="M360" s="25"/>
      <c r="N360" s="25"/>
      <c r="O360" s="25"/>
      <c r="P360" s="25"/>
      <c r="Q360" s="30"/>
      <c r="R360" s="25"/>
      <c r="S360" s="25"/>
      <c r="T360" s="25"/>
      <c r="U360" s="25"/>
      <c r="V360" s="25"/>
      <c r="W360" s="25"/>
      <c r="X360" s="25"/>
      <c r="Y360" s="25"/>
      <c r="Z360" s="31"/>
      <c r="AA360" s="2"/>
      <c r="AB360" s="2"/>
      <c r="AC360" s="2"/>
      <c r="AD360" s="2"/>
      <c r="AE360" s="2"/>
      <c r="AF360" s="2"/>
    </row>
    <row r="361" ht="22.5" customHeight="1">
      <c r="A361" s="32"/>
      <c r="B361" s="23"/>
      <c r="C361" s="23"/>
      <c r="D361" s="23"/>
      <c r="E361" s="13" t="str">
        <f t="shared" si="1"/>
        <v>+</v>
      </c>
      <c r="F361" s="23"/>
      <c r="G361" s="23"/>
      <c r="H361" s="23"/>
      <c r="I361" s="23"/>
      <c r="J361" s="33" t="str">
        <f>IFERROR(__xludf.DUMMYFUNCTION("TEXT(REGEXREPLACE(I361, ""[^0-9]"", """"), ""00000-0000000-0"")"),"")</f>
        <v/>
      </c>
      <c r="K361" s="33"/>
      <c r="L361" s="23"/>
      <c r="M361" s="23"/>
      <c r="N361" s="23"/>
      <c r="O361" s="23"/>
      <c r="P361" s="23"/>
      <c r="Q361" s="34"/>
      <c r="R361" s="23"/>
      <c r="S361" s="23"/>
      <c r="T361" s="23"/>
      <c r="U361" s="23"/>
      <c r="V361" s="23"/>
      <c r="W361" s="23"/>
      <c r="X361" s="23"/>
      <c r="Y361" s="23"/>
      <c r="Z361" s="35"/>
      <c r="AA361" s="2"/>
      <c r="AB361" s="2"/>
      <c r="AC361" s="2"/>
      <c r="AD361" s="2"/>
      <c r="AE361" s="2"/>
      <c r="AF361" s="2"/>
    </row>
    <row r="362" ht="22.5" customHeight="1">
      <c r="A362" s="28"/>
      <c r="B362" s="25"/>
      <c r="C362" s="25"/>
      <c r="D362" s="25"/>
      <c r="E362" s="4" t="str">
        <f t="shared" si="1"/>
        <v>+</v>
      </c>
      <c r="F362" s="25"/>
      <c r="G362" s="25"/>
      <c r="H362" s="25"/>
      <c r="I362" s="25"/>
      <c r="J362" s="29" t="str">
        <f>IFERROR(__xludf.DUMMYFUNCTION("TEXT(REGEXREPLACE(I362, ""[^0-9]"", """"), ""00000-0000000-0"")"),"")</f>
        <v/>
      </c>
      <c r="K362" s="29"/>
      <c r="L362" s="25"/>
      <c r="M362" s="25"/>
      <c r="N362" s="25"/>
      <c r="O362" s="25"/>
      <c r="P362" s="25"/>
      <c r="Q362" s="30"/>
      <c r="R362" s="25"/>
      <c r="S362" s="25"/>
      <c r="T362" s="25"/>
      <c r="U362" s="25"/>
      <c r="V362" s="25"/>
      <c r="W362" s="25"/>
      <c r="X362" s="25"/>
      <c r="Y362" s="25"/>
      <c r="Z362" s="31"/>
      <c r="AA362" s="2"/>
      <c r="AB362" s="2"/>
      <c r="AC362" s="2"/>
      <c r="AD362" s="2"/>
      <c r="AE362" s="2"/>
      <c r="AF362" s="2"/>
    </row>
    <row r="363" ht="22.5" customHeight="1">
      <c r="A363" s="32"/>
      <c r="B363" s="23"/>
      <c r="C363" s="23"/>
      <c r="D363" s="23"/>
      <c r="E363" s="13" t="str">
        <f t="shared" si="1"/>
        <v>+</v>
      </c>
      <c r="F363" s="23"/>
      <c r="G363" s="23"/>
      <c r="H363" s="23"/>
      <c r="I363" s="23"/>
      <c r="J363" s="33" t="str">
        <f>IFERROR(__xludf.DUMMYFUNCTION("TEXT(REGEXREPLACE(I363, ""[^0-9]"", """"), ""00000-0000000-0"")"),"")</f>
        <v/>
      </c>
      <c r="K363" s="33"/>
      <c r="L363" s="23"/>
      <c r="M363" s="23"/>
      <c r="N363" s="23"/>
      <c r="O363" s="23"/>
      <c r="P363" s="23"/>
      <c r="Q363" s="34"/>
      <c r="R363" s="23"/>
      <c r="S363" s="23"/>
      <c r="T363" s="23"/>
      <c r="U363" s="23"/>
      <c r="V363" s="23"/>
      <c r="W363" s="23"/>
      <c r="X363" s="23"/>
      <c r="Y363" s="23"/>
      <c r="Z363" s="35"/>
      <c r="AA363" s="2"/>
      <c r="AB363" s="2"/>
      <c r="AC363" s="2"/>
      <c r="AD363" s="2"/>
      <c r="AE363" s="2"/>
      <c r="AF363" s="2"/>
    </row>
    <row r="364" ht="22.5" customHeight="1">
      <c r="A364" s="28"/>
      <c r="B364" s="25"/>
      <c r="C364" s="25"/>
      <c r="D364" s="25"/>
      <c r="E364" s="4" t="str">
        <f t="shared" si="1"/>
        <v>+</v>
      </c>
      <c r="F364" s="25"/>
      <c r="G364" s="25"/>
      <c r="H364" s="25"/>
      <c r="I364" s="25"/>
      <c r="J364" s="29" t="str">
        <f>IFERROR(__xludf.DUMMYFUNCTION("TEXT(REGEXREPLACE(I364, ""[^0-9]"", """"), ""00000-0000000-0"")"),"")</f>
        <v/>
      </c>
      <c r="K364" s="29"/>
      <c r="L364" s="25"/>
      <c r="M364" s="25"/>
      <c r="N364" s="25"/>
      <c r="O364" s="25"/>
      <c r="P364" s="25"/>
      <c r="Q364" s="30"/>
      <c r="R364" s="25"/>
      <c r="S364" s="25"/>
      <c r="T364" s="25"/>
      <c r="U364" s="25"/>
      <c r="V364" s="25"/>
      <c r="W364" s="25"/>
      <c r="X364" s="25"/>
      <c r="Y364" s="25"/>
      <c r="Z364" s="31"/>
      <c r="AA364" s="2"/>
      <c r="AB364" s="2"/>
      <c r="AC364" s="2"/>
      <c r="AD364" s="2"/>
      <c r="AE364" s="2"/>
      <c r="AF364" s="2"/>
    </row>
    <row r="365" ht="22.5" customHeight="1">
      <c r="A365" s="32"/>
      <c r="B365" s="23"/>
      <c r="C365" s="23"/>
      <c r="D365" s="23"/>
      <c r="E365" s="13" t="str">
        <f t="shared" si="1"/>
        <v>+</v>
      </c>
      <c r="F365" s="23"/>
      <c r="G365" s="23"/>
      <c r="H365" s="23"/>
      <c r="I365" s="23"/>
      <c r="J365" s="33" t="str">
        <f>IFERROR(__xludf.DUMMYFUNCTION("TEXT(REGEXREPLACE(I365, ""[^0-9]"", """"), ""00000-0000000-0"")"),"")</f>
        <v/>
      </c>
      <c r="K365" s="33"/>
      <c r="L365" s="23"/>
      <c r="M365" s="23"/>
      <c r="N365" s="23"/>
      <c r="O365" s="23"/>
      <c r="P365" s="23"/>
      <c r="Q365" s="34"/>
      <c r="R365" s="23"/>
      <c r="S365" s="23"/>
      <c r="T365" s="23"/>
      <c r="U365" s="23"/>
      <c r="V365" s="23"/>
      <c r="W365" s="23"/>
      <c r="X365" s="23"/>
      <c r="Y365" s="23"/>
      <c r="Z365" s="35"/>
      <c r="AA365" s="2"/>
      <c r="AB365" s="2"/>
      <c r="AC365" s="2"/>
      <c r="AD365" s="2"/>
      <c r="AE365" s="2"/>
      <c r="AF365" s="2"/>
    </row>
    <row r="366" ht="22.5" customHeight="1">
      <c r="A366" s="28"/>
      <c r="B366" s="25"/>
      <c r="C366" s="25"/>
      <c r="D366" s="25"/>
      <c r="E366" s="4" t="str">
        <f t="shared" si="1"/>
        <v>+</v>
      </c>
      <c r="F366" s="25"/>
      <c r="G366" s="25"/>
      <c r="H366" s="25"/>
      <c r="I366" s="25"/>
      <c r="J366" s="29" t="str">
        <f>IFERROR(__xludf.DUMMYFUNCTION("TEXT(REGEXREPLACE(I366, ""[^0-9]"", """"), ""00000-0000000-0"")"),"")</f>
        <v/>
      </c>
      <c r="K366" s="29"/>
      <c r="L366" s="25"/>
      <c r="M366" s="25"/>
      <c r="N366" s="25"/>
      <c r="O366" s="25"/>
      <c r="P366" s="25"/>
      <c r="Q366" s="30"/>
      <c r="R366" s="25"/>
      <c r="S366" s="25"/>
      <c r="T366" s="25"/>
      <c r="U366" s="25"/>
      <c r="V366" s="25"/>
      <c r="W366" s="25"/>
      <c r="X366" s="25"/>
      <c r="Y366" s="25"/>
      <c r="Z366" s="31"/>
      <c r="AA366" s="2"/>
      <c r="AB366" s="2"/>
      <c r="AC366" s="2"/>
      <c r="AD366" s="2"/>
      <c r="AE366" s="2"/>
      <c r="AF366" s="2"/>
    </row>
    <row r="367" ht="22.5" customHeight="1">
      <c r="A367" s="32"/>
      <c r="B367" s="23"/>
      <c r="C367" s="23"/>
      <c r="D367" s="23"/>
      <c r="E367" s="13" t="str">
        <f t="shared" si="1"/>
        <v>+</v>
      </c>
      <c r="F367" s="23"/>
      <c r="G367" s="23"/>
      <c r="H367" s="23"/>
      <c r="I367" s="23"/>
      <c r="J367" s="33" t="str">
        <f>IFERROR(__xludf.DUMMYFUNCTION("TEXT(REGEXREPLACE(I367, ""[^0-9]"", """"), ""00000-0000000-0"")"),"")</f>
        <v/>
      </c>
      <c r="K367" s="33"/>
      <c r="L367" s="23"/>
      <c r="M367" s="23"/>
      <c r="N367" s="23"/>
      <c r="O367" s="23"/>
      <c r="P367" s="23"/>
      <c r="Q367" s="34"/>
      <c r="R367" s="23"/>
      <c r="S367" s="23"/>
      <c r="T367" s="23"/>
      <c r="U367" s="23"/>
      <c r="V367" s="23"/>
      <c r="W367" s="23"/>
      <c r="X367" s="23"/>
      <c r="Y367" s="23"/>
      <c r="Z367" s="35"/>
      <c r="AA367" s="2"/>
      <c r="AB367" s="2"/>
      <c r="AC367" s="2"/>
      <c r="AD367" s="2"/>
      <c r="AE367" s="2"/>
      <c r="AF367" s="2"/>
    </row>
    <row r="368" ht="22.5" customHeight="1">
      <c r="A368" s="28"/>
      <c r="B368" s="25"/>
      <c r="C368" s="25"/>
      <c r="D368" s="25"/>
      <c r="E368" s="4" t="str">
        <f t="shared" si="1"/>
        <v>+</v>
      </c>
      <c r="F368" s="25"/>
      <c r="G368" s="25"/>
      <c r="H368" s="25"/>
      <c r="I368" s="25"/>
      <c r="J368" s="29" t="str">
        <f>IFERROR(__xludf.DUMMYFUNCTION("TEXT(REGEXREPLACE(I368, ""[^0-9]"", """"), ""00000-0000000-0"")"),"")</f>
        <v/>
      </c>
      <c r="K368" s="29"/>
      <c r="L368" s="25"/>
      <c r="M368" s="25"/>
      <c r="N368" s="25"/>
      <c r="O368" s="25"/>
      <c r="P368" s="25"/>
      <c r="Q368" s="30"/>
      <c r="R368" s="25"/>
      <c r="S368" s="25"/>
      <c r="T368" s="25"/>
      <c r="U368" s="25"/>
      <c r="V368" s="25"/>
      <c r="W368" s="25"/>
      <c r="X368" s="25"/>
      <c r="Y368" s="25"/>
      <c r="Z368" s="31"/>
      <c r="AA368" s="2"/>
      <c r="AB368" s="2"/>
      <c r="AC368" s="2"/>
      <c r="AD368" s="2"/>
      <c r="AE368" s="2"/>
      <c r="AF368" s="2"/>
    </row>
    <row r="369" ht="22.5" customHeight="1">
      <c r="A369" s="32"/>
      <c r="B369" s="23"/>
      <c r="C369" s="23"/>
      <c r="D369" s="23"/>
      <c r="E369" s="13" t="str">
        <f t="shared" si="1"/>
        <v>+</v>
      </c>
      <c r="F369" s="23"/>
      <c r="G369" s="23"/>
      <c r="H369" s="23"/>
      <c r="I369" s="23"/>
      <c r="J369" s="33" t="str">
        <f>IFERROR(__xludf.DUMMYFUNCTION("TEXT(REGEXREPLACE(I369, ""[^0-9]"", """"), ""00000-0000000-0"")"),"")</f>
        <v/>
      </c>
      <c r="K369" s="33"/>
      <c r="L369" s="23"/>
      <c r="M369" s="23"/>
      <c r="N369" s="23"/>
      <c r="O369" s="23"/>
      <c r="P369" s="23"/>
      <c r="Q369" s="34"/>
      <c r="R369" s="23"/>
      <c r="S369" s="23"/>
      <c r="T369" s="23"/>
      <c r="U369" s="23"/>
      <c r="V369" s="23"/>
      <c r="W369" s="23"/>
      <c r="X369" s="23"/>
      <c r="Y369" s="23"/>
      <c r="Z369" s="35"/>
      <c r="AA369" s="2"/>
      <c r="AB369" s="2"/>
      <c r="AC369" s="2"/>
      <c r="AD369" s="2"/>
      <c r="AE369" s="2"/>
      <c r="AF369" s="2"/>
    </row>
    <row r="370" ht="22.5" customHeight="1">
      <c r="A370" s="28"/>
      <c r="B370" s="25"/>
      <c r="C370" s="25"/>
      <c r="D370" s="25"/>
      <c r="E370" s="4" t="str">
        <f t="shared" si="1"/>
        <v>+</v>
      </c>
      <c r="F370" s="25"/>
      <c r="G370" s="25"/>
      <c r="H370" s="25"/>
      <c r="I370" s="25"/>
      <c r="J370" s="29" t="str">
        <f>IFERROR(__xludf.DUMMYFUNCTION("TEXT(REGEXREPLACE(I370, ""[^0-9]"", """"), ""00000-0000000-0"")"),"")</f>
        <v/>
      </c>
      <c r="K370" s="29"/>
      <c r="L370" s="25"/>
      <c r="M370" s="25"/>
      <c r="N370" s="25"/>
      <c r="O370" s="25"/>
      <c r="P370" s="25"/>
      <c r="Q370" s="30"/>
      <c r="R370" s="25"/>
      <c r="S370" s="25"/>
      <c r="T370" s="25"/>
      <c r="U370" s="25"/>
      <c r="V370" s="25"/>
      <c r="W370" s="25"/>
      <c r="X370" s="25"/>
      <c r="Y370" s="25"/>
      <c r="Z370" s="31"/>
      <c r="AA370" s="2"/>
      <c r="AB370" s="2"/>
      <c r="AC370" s="2"/>
      <c r="AD370" s="2"/>
      <c r="AE370" s="2"/>
      <c r="AF370" s="2"/>
    </row>
    <row r="371" ht="22.5" customHeight="1">
      <c r="A371" s="32"/>
      <c r="B371" s="23"/>
      <c r="C371" s="23"/>
      <c r="D371" s="23"/>
      <c r="E371" s="13" t="str">
        <f t="shared" si="1"/>
        <v>+</v>
      </c>
      <c r="F371" s="23"/>
      <c r="G371" s="23"/>
      <c r="H371" s="23"/>
      <c r="I371" s="23"/>
      <c r="J371" s="33" t="str">
        <f>IFERROR(__xludf.DUMMYFUNCTION("TEXT(REGEXREPLACE(I371, ""[^0-9]"", """"), ""00000-0000000-0"")"),"")</f>
        <v/>
      </c>
      <c r="K371" s="33"/>
      <c r="L371" s="23"/>
      <c r="M371" s="23"/>
      <c r="N371" s="23"/>
      <c r="O371" s="23"/>
      <c r="P371" s="23"/>
      <c r="Q371" s="34"/>
      <c r="R371" s="23"/>
      <c r="S371" s="23"/>
      <c r="T371" s="23"/>
      <c r="U371" s="23"/>
      <c r="V371" s="23"/>
      <c r="W371" s="23"/>
      <c r="X371" s="23"/>
      <c r="Y371" s="23"/>
      <c r="Z371" s="35"/>
      <c r="AA371" s="2"/>
      <c r="AB371" s="2"/>
      <c r="AC371" s="2"/>
      <c r="AD371" s="2"/>
      <c r="AE371" s="2"/>
      <c r="AF371" s="2"/>
    </row>
    <row r="372" ht="22.5" customHeight="1">
      <c r="A372" s="28"/>
      <c r="B372" s="25"/>
      <c r="C372" s="25"/>
      <c r="D372" s="25"/>
      <c r="E372" s="4" t="str">
        <f t="shared" si="1"/>
        <v>+</v>
      </c>
      <c r="F372" s="25"/>
      <c r="G372" s="25"/>
      <c r="H372" s="25"/>
      <c r="I372" s="25"/>
      <c r="J372" s="29" t="str">
        <f>IFERROR(__xludf.DUMMYFUNCTION("TEXT(REGEXREPLACE(I372, ""[^0-9]"", """"), ""00000-0000000-0"")"),"")</f>
        <v/>
      </c>
      <c r="K372" s="29"/>
      <c r="L372" s="25"/>
      <c r="M372" s="25"/>
      <c r="N372" s="25"/>
      <c r="O372" s="25"/>
      <c r="P372" s="25"/>
      <c r="Q372" s="30"/>
      <c r="R372" s="25"/>
      <c r="S372" s="25"/>
      <c r="T372" s="25"/>
      <c r="U372" s="25"/>
      <c r="V372" s="25"/>
      <c r="W372" s="25"/>
      <c r="X372" s="25"/>
      <c r="Y372" s="25"/>
      <c r="Z372" s="31"/>
      <c r="AA372" s="2"/>
      <c r="AB372" s="2"/>
      <c r="AC372" s="2"/>
      <c r="AD372" s="2"/>
      <c r="AE372" s="2"/>
      <c r="AF372" s="2"/>
    </row>
    <row r="373" ht="22.5" customHeight="1">
      <c r="A373" s="32"/>
      <c r="B373" s="23"/>
      <c r="C373" s="23"/>
      <c r="D373" s="23"/>
      <c r="E373" s="13" t="str">
        <f t="shared" si="1"/>
        <v>+</v>
      </c>
      <c r="F373" s="23"/>
      <c r="G373" s="23"/>
      <c r="H373" s="23"/>
      <c r="I373" s="23"/>
      <c r="J373" s="33" t="str">
        <f>IFERROR(__xludf.DUMMYFUNCTION("TEXT(REGEXREPLACE(I373, ""[^0-9]"", """"), ""00000-0000000-0"")"),"")</f>
        <v/>
      </c>
      <c r="K373" s="33"/>
      <c r="L373" s="23"/>
      <c r="M373" s="23"/>
      <c r="N373" s="23"/>
      <c r="O373" s="23"/>
      <c r="P373" s="23"/>
      <c r="Q373" s="34"/>
      <c r="R373" s="23"/>
      <c r="S373" s="23"/>
      <c r="T373" s="23"/>
      <c r="U373" s="23"/>
      <c r="V373" s="23"/>
      <c r="W373" s="23"/>
      <c r="X373" s="23"/>
      <c r="Y373" s="23"/>
      <c r="Z373" s="35"/>
      <c r="AA373" s="2"/>
      <c r="AB373" s="2"/>
      <c r="AC373" s="2"/>
      <c r="AD373" s="2"/>
      <c r="AE373" s="2"/>
      <c r="AF373" s="2"/>
    </row>
    <row r="374" ht="22.5" customHeight="1">
      <c r="A374" s="28"/>
      <c r="B374" s="25"/>
      <c r="C374" s="25"/>
      <c r="D374" s="25"/>
      <c r="E374" s="4" t="str">
        <f t="shared" si="1"/>
        <v>+</v>
      </c>
      <c r="F374" s="25"/>
      <c r="G374" s="25"/>
      <c r="H374" s="25"/>
      <c r="I374" s="25"/>
      <c r="J374" s="29" t="str">
        <f>IFERROR(__xludf.DUMMYFUNCTION("TEXT(REGEXREPLACE(I374, ""[^0-9]"", """"), ""00000-0000000-0"")"),"")</f>
        <v/>
      </c>
      <c r="K374" s="29"/>
      <c r="L374" s="25"/>
      <c r="M374" s="25"/>
      <c r="N374" s="25"/>
      <c r="O374" s="25"/>
      <c r="P374" s="25"/>
      <c r="Q374" s="30"/>
      <c r="R374" s="25"/>
      <c r="S374" s="25"/>
      <c r="T374" s="25"/>
      <c r="U374" s="25"/>
      <c r="V374" s="25"/>
      <c r="W374" s="25"/>
      <c r="X374" s="25"/>
      <c r="Y374" s="25"/>
      <c r="Z374" s="31"/>
      <c r="AA374" s="2"/>
      <c r="AB374" s="2"/>
      <c r="AC374" s="2"/>
      <c r="AD374" s="2"/>
      <c r="AE374" s="2"/>
      <c r="AF374" s="2"/>
    </row>
    <row r="375" ht="22.5" customHeight="1">
      <c r="A375" s="32"/>
      <c r="B375" s="23"/>
      <c r="C375" s="23"/>
      <c r="D375" s="23"/>
      <c r="E375" s="13" t="str">
        <f t="shared" si="1"/>
        <v>+</v>
      </c>
      <c r="F375" s="23"/>
      <c r="G375" s="23"/>
      <c r="H375" s="23"/>
      <c r="I375" s="23"/>
      <c r="J375" s="33" t="str">
        <f>IFERROR(__xludf.DUMMYFUNCTION("TEXT(REGEXREPLACE(I375, ""[^0-9]"", """"), ""00000-0000000-0"")"),"")</f>
        <v/>
      </c>
      <c r="K375" s="33"/>
      <c r="L375" s="23"/>
      <c r="M375" s="23"/>
      <c r="N375" s="23"/>
      <c r="O375" s="23"/>
      <c r="P375" s="23"/>
      <c r="Q375" s="34"/>
      <c r="R375" s="23"/>
      <c r="S375" s="23"/>
      <c r="T375" s="23"/>
      <c r="U375" s="23"/>
      <c r="V375" s="23"/>
      <c r="W375" s="23"/>
      <c r="X375" s="23"/>
      <c r="Y375" s="23"/>
      <c r="Z375" s="35"/>
      <c r="AA375" s="2"/>
      <c r="AB375" s="2"/>
      <c r="AC375" s="2"/>
      <c r="AD375" s="2"/>
      <c r="AE375" s="2"/>
      <c r="AF375" s="2"/>
    </row>
    <row r="376" ht="22.5" customHeight="1">
      <c r="A376" s="28"/>
      <c r="B376" s="25"/>
      <c r="C376" s="25"/>
      <c r="D376" s="25"/>
      <c r="E376" s="4" t="str">
        <f t="shared" si="1"/>
        <v>+</v>
      </c>
      <c r="F376" s="25"/>
      <c r="G376" s="25"/>
      <c r="H376" s="25"/>
      <c r="I376" s="25"/>
      <c r="J376" s="29" t="str">
        <f>IFERROR(__xludf.DUMMYFUNCTION("TEXT(REGEXREPLACE(I376, ""[^0-9]"", """"), ""00000-0000000-0"")"),"")</f>
        <v/>
      </c>
      <c r="K376" s="29"/>
      <c r="L376" s="25"/>
      <c r="M376" s="25"/>
      <c r="N376" s="25"/>
      <c r="O376" s="25"/>
      <c r="P376" s="25"/>
      <c r="Q376" s="30"/>
      <c r="R376" s="25"/>
      <c r="S376" s="25"/>
      <c r="T376" s="25"/>
      <c r="U376" s="25"/>
      <c r="V376" s="25"/>
      <c r="W376" s="25"/>
      <c r="X376" s="25"/>
      <c r="Y376" s="25"/>
      <c r="Z376" s="31"/>
      <c r="AA376" s="2"/>
      <c r="AB376" s="2"/>
      <c r="AC376" s="2"/>
      <c r="AD376" s="2"/>
      <c r="AE376" s="2"/>
      <c r="AF376" s="2"/>
    </row>
    <row r="377" ht="22.5" customHeight="1">
      <c r="A377" s="32"/>
      <c r="B377" s="23"/>
      <c r="C377" s="23"/>
      <c r="D377" s="23"/>
      <c r="E377" s="13" t="str">
        <f t="shared" si="1"/>
        <v>+</v>
      </c>
      <c r="F377" s="23"/>
      <c r="G377" s="23"/>
      <c r="H377" s="23"/>
      <c r="I377" s="23"/>
      <c r="J377" s="33" t="str">
        <f>IFERROR(__xludf.DUMMYFUNCTION("TEXT(REGEXREPLACE(I377, ""[^0-9]"", """"), ""00000-0000000-0"")"),"")</f>
        <v/>
      </c>
      <c r="K377" s="33"/>
      <c r="L377" s="23"/>
      <c r="M377" s="23"/>
      <c r="N377" s="23"/>
      <c r="O377" s="23"/>
      <c r="P377" s="23"/>
      <c r="Q377" s="34"/>
      <c r="R377" s="23"/>
      <c r="S377" s="23"/>
      <c r="T377" s="23"/>
      <c r="U377" s="23"/>
      <c r="V377" s="23"/>
      <c r="W377" s="23"/>
      <c r="X377" s="23"/>
      <c r="Y377" s="23"/>
      <c r="Z377" s="35"/>
      <c r="AA377" s="2"/>
      <c r="AB377" s="2"/>
      <c r="AC377" s="2"/>
      <c r="AD377" s="2"/>
      <c r="AE377" s="2"/>
      <c r="AF377" s="2"/>
    </row>
    <row r="378" ht="22.5" customHeight="1">
      <c r="A378" s="28"/>
      <c r="B378" s="25"/>
      <c r="C378" s="25"/>
      <c r="D378" s="25"/>
      <c r="E378" s="4" t="str">
        <f t="shared" si="1"/>
        <v>+</v>
      </c>
      <c r="F378" s="25"/>
      <c r="G378" s="25"/>
      <c r="H378" s="25"/>
      <c r="I378" s="25"/>
      <c r="J378" s="29" t="str">
        <f>IFERROR(__xludf.DUMMYFUNCTION("TEXT(REGEXREPLACE(I378, ""[^0-9]"", """"), ""00000-0000000-0"")"),"")</f>
        <v/>
      </c>
      <c r="K378" s="29"/>
      <c r="L378" s="25"/>
      <c r="M378" s="25"/>
      <c r="N378" s="25"/>
      <c r="O378" s="25"/>
      <c r="P378" s="25"/>
      <c r="Q378" s="30"/>
      <c r="R378" s="25"/>
      <c r="S378" s="25"/>
      <c r="T378" s="25"/>
      <c r="U378" s="25"/>
      <c r="V378" s="25"/>
      <c r="W378" s="25"/>
      <c r="X378" s="25"/>
      <c r="Y378" s="25"/>
      <c r="Z378" s="31"/>
      <c r="AA378" s="2"/>
      <c r="AB378" s="2"/>
      <c r="AC378" s="2"/>
      <c r="AD378" s="2"/>
      <c r="AE378" s="2"/>
      <c r="AF378" s="2"/>
    </row>
    <row r="379" ht="22.5" customHeight="1">
      <c r="A379" s="32"/>
      <c r="B379" s="23"/>
      <c r="C379" s="23"/>
      <c r="D379" s="23"/>
      <c r="E379" s="13" t="str">
        <f t="shared" si="1"/>
        <v>+</v>
      </c>
      <c r="F379" s="23"/>
      <c r="G379" s="23"/>
      <c r="H379" s="23"/>
      <c r="I379" s="23"/>
      <c r="J379" s="33" t="str">
        <f>IFERROR(__xludf.DUMMYFUNCTION("TEXT(REGEXREPLACE(I379, ""[^0-9]"", """"), ""00000-0000000-0"")"),"")</f>
        <v/>
      </c>
      <c r="K379" s="33"/>
      <c r="L379" s="23"/>
      <c r="M379" s="23"/>
      <c r="N379" s="23"/>
      <c r="O379" s="23"/>
      <c r="P379" s="23"/>
      <c r="Q379" s="34"/>
      <c r="R379" s="23"/>
      <c r="S379" s="23"/>
      <c r="T379" s="23"/>
      <c r="U379" s="23"/>
      <c r="V379" s="23"/>
      <c r="W379" s="23"/>
      <c r="X379" s="23"/>
      <c r="Y379" s="23"/>
      <c r="Z379" s="35"/>
      <c r="AA379" s="2"/>
      <c r="AB379" s="2"/>
      <c r="AC379" s="2"/>
      <c r="AD379" s="2"/>
      <c r="AE379" s="2"/>
      <c r="AF379" s="2"/>
    </row>
    <row r="380" ht="22.5" customHeight="1">
      <c r="A380" s="28"/>
      <c r="B380" s="25"/>
      <c r="C380" s="25"/>
      <c r="D380" s="25"/>
      <c r="E380" s="4" t="str">
        <f t="shared" si="1"/>
        <v>+</v>
      </c>
      <c r="F380" s="25"/>
      <c r="G380" s="25"/>
      <c r="H380" s="25"/>
      <c r="I380" s="25"/>
      <c r="J380" s="29" t="str">
        <f>IFERROR(__xludf.DUMMYFUNCTION("TEXT(REGEXREPLACE(I380, ""[^0-9]"", """"), ""00000-0000000-0"")"),"")</f>
        <v/>
      </c>
      <c r="K380" s="29"/>
      <c r="L380" s="25"/>
      <c r="M380" s="25"/>
      <c r="N380" s="25"/>
      <c r="O380" s="25"/>
      <c r="P380" s="25"/>
      <c r="Q380" s="30"/>
      <c r="R380" s="25"/>
      <c r="S380" s="25"/>
      <c r="T380" s="25"/>
      <c r="U380" s="25"/>
      <c r="V380" s="25"/>
      <c r="W380" s="25"/>
      <c r="X380" s="25"/>
      <c r="Y380" s="25"/>
      <c r="Z380" s="31"/>
      <c r="AA380" s="2"/>
      <c r="AB380" s="2"/>
      <c r="AC380" s="2"/>
      <c r="AD380" s="2"/>
      <c r="AE380" s="2"/>
      <c r="AF380" s="2"/>
    </row>
    <row r="381" ht="22.5" customHeight="1">
      <c r="A381" s="32"/>
      <c r="B381" s="23"/>
      <c r="C381" s="23"/>
      <c r="D381" s="23"/>
      <c r="E381" s="13" t="str">
        <f t="shared" si="1"/>
        <v>+</v>
      </c>
      <c r="F381" s="23"/>
      <c r="G381" s="23"/>
      <c r="H381" s="23"/>
      <c r="I381" s="23"/>
      <c r="J381" s="33" t="str">
        <f>IFERROR(__xludf.DUMMYFUNCTION("TEXT(REGEXREPLACE(I381, ""[^0-9]"", """"), ""00000-0000000-0"")"),"")</f>
        <v/>
      </c>
      <c r="K381" s="33"/>
      <c r="L381" s="23"/>
      <c r="M381" s="23"/>
      <c r="N381" s="23"/>
      <c r="O381" s="23"/>
      <c r="P381" s="23"/>
      <c r="Q381" s="34"/>
      <c r="R381" s="23"/>
      <c r="S381" s="23"/>
      <c r="T381" s="23"/>
      <c r="U381" s="23"/>
      <c r="V381" s="23"/>
      <c r="W381" s="23"/>
      <c r="X381" s="23"/>
      <c r="Y381" s="23"/>
      <c r="Z381" s="35"/>
      <c r="AA381" s="2"/>
      <c r="AB381" s="2"/>
      <c r="AC381" s="2"/>
      <c r="AD381" s="2"/>
      <c r="AE381" s="2"/>
      <c r="AF381" s="2"/>
    </row>
    <row r="382" ht="22.5" customHeight="1">
      <c r="A382" s="28"/>
      <c r="B382" s="25"/>
      <c r="C382" s="25"/>
      <c r="D382" s="25"/>
      <c r="E382" s="4" t="str">
        <f t="shared" si="1"/>
        <v>+</v>
      </c>
      <c r="F382" s="25"/>
      <c r="G382" s="25"/>
      <c r="H382" s="25"/>
      <c r="I382" s="25"/>
      <c r="J382" s="29" t="str">
        <f>IFERROR(__xludf.DUMMYFUNCTION("TEXT(REGEXREPLACE(I382, ""[^0-9]"", """"), ""00000-0000000-0"")"),"")</f>
        <v/>
      </c>
      <c r="K382" s="29"/>
      <c r="L382" s="25"/>
      <c r="M382" s="25"/>
      <c r="N382" s="25"/>
      <c r="O382" s="25"/>
      <c r="P382" s="25"/>
      <c r="Q382" s="30"/>
      <c r="R382" s="25"/>
      <c r="S382" s="25"/>
      <c r="T382" s="25"/>
      <c r="U382" s="25"/>
      <c r="V382" s="25"/>
      <c r="W382" s="25"/>
      <c r="X382" s="25"/>
      <c r="Y382" s="25"/>
      <c r="Z382" s="31"/>
      <c r="AA382" s="2"/>
      <c r="AB382" s="2"/>
      <c r="AC382" s="2"/>
      <c r="AD382" s="2"/>
      <c r="AE382" s="2"/>
      <c r="AF382" s="2"/>
    </row>
    <row r="383" ht="22.5" customHeight="1">
      <c r="A383" s="36"/>
      <c r="B383" s="37"/>
      <c r="C383" s="37"/>
      <c r="D383" s="37"/>
      <c r="E383" s="38" t="str">
        <f t="shared" si="1"/>
        <v>+</v>
      </c>
      <c r="F383" s="37"/>
      <c r="G383" s="37"/>
      <c r="H383" s="37"/>
      <c r="I383" s="37"/>
      <c r="J383" s="39" t="str">
        <f>IFERROR(__xludf.DUMMYFUNCTION("TEXT(REGEXREPLACE(I383, ""[^0-9]"", """"), ""00000-0000000-0"")"),"")</f>
        <v/>
      </c>
      <c r="K383" s="39"/>
      <c r="L383" s="37"/>
      <c r="M383" s="37"/>
      <c r="N383" s="37"/>
      <c r="O383" s="37"/>
      <c r="P383" s="37"/>
      <c r="Q383" s="40"/>
      <c r="R383" s="37"/>
      <c r="S383" s="37"/>
      <c r="T383" s="37"/>
      <c r="U383" s="37"/>
      <c r="V383" s="37"/>
      <c r="W383" s="37"/>
      <c r="X383" s="37"/>
      <c r="Y383" s="37"/>
      <c r="Z383" s="41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dataValidations>
    <dataValidation type="custom" allowBlank="1" showDropDown="1" sqref="K2:K383">
      <formula1>OR(NOT(ISERROR(DATEVALUE(K2))), AND(ISNUMBER(K2), LEFT(CELL("format", K2))="D"))</formula1>
    </dataValidation>
    <dataValidation type="custom" allowBlank="1" showDropDown="1" sqref="A2:A383">
      <formula1>OR(NOT(ISERROR(DATEVALUE(A2))), AND(ISNUMBER(A2), LEFT(CELL("format", A2))="D"))</formula1>
    </dataValidation>
    <dataValidation type="custom" allowBlank="1" showDropDown="1" sqref="Q2:Q383">
      <formula1>AND(ISNUMBER(Q2),(NOT(OR(NOT(ISERROR(DATEVALUE(Q2))), AND(ISNUMBER(Q2), LEFT(CELL("format", Q2))="D")))))</formula1>
    </dataValidation>
  </dataValidations>
  <hyperlinks>
    <hyperlink r:id="rId1" ref="V2"/>
    <hyperlink r:id="rId2" ref="W2"/>
    <hyperlink r:id="rId3" ref="X2"/>
    <hyperlink r:id="rId4" ref="Y2"/>
    <hyperlink r:id="rId5" ref="V3"/>
    <hyperlink r:id="rId6" ref="W3"/>
    <hyperlink r:id="rId7" ref="X3"/>
    <hyperlink r:id="rId8" ref="Y3"/>
    <hyperlink r:id="rId9" ref="V4"/>
    <hyperlink r:id="rId10" ref="W4"/>
    <hyperlink r:id="rId11" ref="X4"/>
    <hyperlink r:id="rId12" ref="Y4"/>
    <hyperlink r:id="rId13" ref="V5"/>
    <hyperlink r:id="rId14" ref="W5"/>
    <hyperlink r:id="rId15" ref="X5"/>
    <hyperlink r:id="rId16" ref="Y5"/>
    <hyperlink r:id="rId17" ref="V6"/>
    <hyperlink r:id="rId18" ref="W6"/>
    <hyperlink r:id="rId19" ref="X6"/>
    <hyperlink r:id="rId20" ref="Y6"/>
    <hyperlink r:id="rId21" ref="V7"/>
    <hyperlink r:id="rId22" ref="W7"/>
    <hyperlink r:id="rId23" ref="X7"/>
    <hyperlink r:id="rId24" ref="Y7"/>
    <hyperlink r:id="rId25" ref="V8"/>
    <hyperlink r:id="rId26" ref="W8"/>
    <hyperlink r:id="rId27" ref="X8"/>
    <hyperlink r:id="rId28" ref="Y8"/>
    <hyperlink r:id="rId29" ref="V9"/>
    <hyperlink r:id="rId30" ref="W9"/>
    <hyperlink r:id="rId31" ref="X9"/>
    <hyperlink r:id="rId32" ref="Y9"/>
    <hyperlink r:id="rId33" ref="V10"/>
    <hyperlink r:id="rId34" ref="W10"/>
    <hyperlink r:id="rId35" ref="X10"/>
    <hyperlink r:id="rId36" ref="Y10"/>
    <hyperlink r:id="rId37" ref="V11"/>
    <hyperlink r:id="rId38" ref="W11"/>
    <hyperlink r:id="rId39" ref="V12"/>
    <hyperlink r:id="rId40" ref="W12"/>
    <hyperlink r:id="rId41" ref="X12"/>
    <hyperlink r:id="rId42" ref="Y12"/>
    <hyperlink r:id="rId43" ref="V13"/>
    <hyperlink r:id="rId44" ref="W13"/>
    <hyperlink r:id="rId45" ref="X13"/>
    <hyperlink r:id="rId46" ref="Y13"/>
    <hyperlink r:id="rId47" ref="V14"/>
    <hyperlink r:id="rId48" ref="W14"/>
    <hyperlink r:id="rId49" ref="X14"/>
    <hyperlink r:id="rId50" ref="Y14"/>
    <hyperlink r:id="rId51" ref="V15"/>
    <hyperlink r:id="rId52" ref="W15"/>
    <hyperlink r:id="rId53" ref="X15"/>
    <hyperlink r:id="rId54" ref="Y15"/>
    <hyperlink r:id="rId55" ref="V16"/>
    <hyperlink r:id="rId56" ref="W16"/>
    <hyperlink r:id="rId57" ref="X16"/>
    <hyperlink r:id="rId58" ref="Y16"/>
    <hyperlink r:id="rId59" ref="V17"/>
    <hyperlink r:id="rId60" ref="W17"/>
    <hyperlink r:id="rId61" ref="X17"/>
    <hyperlink r:id="rId62" ref="Y17"/>
    <hyperlink r:id="rId63" ref="V18"/>
    <hyperlink r:id="rId64" ref="W18"/>
    <hyperlink r:id="rId65" ref="X18"/>
    <hyperlink r:id="rId66" ref="Y18"/>
    <hyperlink r:id="rId67" ref="V19"/>
    <hyperlink r:id="rId68" ref="W19"/>
    <hyperlink r:id="rId69" ref="X19"/>
    <hyperlink r:id="rId70" ref="Y19"/>
    <hyperlink r:id="rId71" ref="V20"/>
    <hyperlink r:id="rId72" ref="W20"/>
    <hyperlink r:id="rId73" ref="X20"/>
    <hyperlink r:id="rId74" ref="Y20"/>
    <hyperlink r:id="rId75" ref="V22"/>
    <hyperlink r:id="rId76" ref="W22"/>
    <hyperlink r:id="rId77" ref="X22"/>
    <hyperlink r:id="rId78" ref="Y22"/>
    <hyperlink r:id="rId79" ref="V23"/>
    <hyperlink r:id="rId80" ref="W23"/>
    <hyperlink r:id="rId81" ref="X23"/>
    <hyperlink r:id="rId82" ref="Y23"/>
    <hyperlink r:id="rId83" ref="V24"/>
    <hyperlink r:id="rId84" ref="W24"/>
    <hyperlink r:id="rId85" ref="X24"/>
    <hyperlink r:id="rId86" ref="Y24"/>
    <hyperlink r:id="rId87" ref="V25"/>
    <hyperlink r:id="rId88" ref="W25"/>
    <hyperlink r:id="rId89" ref="X25"/>
    <hyperlink r:id="rId90" ref="Y25"/>
    <hyperlink r:id="rId91" ref="V26"/>
    <hyperlink r:id="rId92" ref="W26"/>
    <hyperlink r:id="rId93" ref="X26"/>
    <hyperlink r:id="rId94" ref="Y26"/>
    <hyperlink r:id="rId95" ref="V27"/>
    <hyperlink r:id="rId96" ref="W27"/>
    <hyperlink r:id="rId97" ref="X27"/>
    <hyperlink r:id="rId98" ref="Y27"/>
    <hyperlink r:id="rId99" ref="V28"/>
    <hyperlink r:id="rId100" ref="W28"/>
    <hyperlink r:id="rId101" ref="X28"/>
    <hyperlink r:id="rId102" ref="Y28"/>
    <hyperlink r:id="rId103" ref="V29"/>
    <hyperlink r:id="rId104" ref="W29"/>
    <hyperlink r:id="rId105" ref="X29"/>
    <hyperlink r:id="rId106" ref="Y29"/>
    <hyperlink r:id="rId107" ref="V30"/>
    <hyperlink r:id="rId108" ref="W30"/>
    <hyperlink r:id="rId109" ref="X30"/>
    <hyperlink r:id="rId110" ref="Y30"/>
    <hyperlink r:id="rId111" ref="V31"/>
    <hyperlink r:id="rId112" ref="W31"/>
    <hyperlink r:id="rId113" ref="X31"/>
    <hyperlink r:id="rId114" ref="Y31"/>
    <hyperlink r:id="rId115" ref="V32"/>
    <hyperlink r:id="rId116" ref="W32"/>
    <hyperlink r:id="rId117" ref="X32"/>
    <hyperlink r:id="rId118" ref="Y32"/>
    <hyperlink r:id="rId119" ref="V33"/>
    <hyperlink r:id="rId120" ref="W33"/>
    <hyperlink r:id="rId121" ref="X33"/>
    <hyperlink r:id="rId122" ref="Y33"/>
    <hyperlink r:id="rId123" ref="V34"/>
    <hyperlink r:id="rId124" ref="W34"/>
    <hyperlink r:id="rId125" ref="X34"/>
    <hyperlink r:id="rId126" ref="Y34"/>
    <hyperlink r:id="rId127" ref="V35"/>
    <hyperlink r:id="rId128" ref="W35"/>
    <hyperlink r:id="rId129" ref="X35"/>
    <hyperlink r:id="rId130" ref="V36"/>
    <hyperlink r:id="rId131" ref="W36"/>
    <hyperlink r:id="rId132" ref="X36"/>
    <hyperlink r:id="rId133" ref="Y36"/>
    <hyperlink r:id="rId134" ref="V37"/>
    <hyperlink r:id="rId135" ref="W37"/>
    <hyperlink r:id="rId136" ref="X37"/>
    <hyperlink r:id="rId137" ref="Y37"/>
    <hyperlink r:id="rId138" ref="V38"/>
    <hyperlink r:id="rId139" ref="W38"/>
    <hyperlink r:id="rId140" ref="X38"/>
    <hyperlink r:id="rId141" ref="Y38"/>
    <hyperlink r:id="rId142" ref="U39"/>
    <hyperlink r:id="rId143" ref="V39"/>
    <hyperlink r:id="rId144" ref="W39"/>
    <hyperlink r:id="rId145" ref="X39"/>
    <hyperlink r:id="rId146" ref="Y39"/>
    <hyperlink r:id="rId147" ref="V41"/>
    <hyperlink r:id="rId148" ref="W41"/>
    <hyperlink r:id="rId149" ref="X41"/>
    <hyperlink r:id="rId150" ref="Y41"/>
    <hyperlink r:id="rId151" ref="V42"/>
    <hyperlink r:id="rId152" ref="W42"/>
    <hyperlink r:id="rId153" ref="X42"/>
    <hyperlink r:id="rId154" ref="Y42"/>
    <hyperlink r:id="rId155" ref="V43"/>
    <hyperlink r:id="rId156" ref="W43"/>
    <hyperlink r:id="rId157" ref="X43"/>
    <hyperlink r:id="rId158" ref="Y43"/>
    <hyperlink r:id="rId159" ref="V45"/>
    <hyperlink r:id="rId160" ref="W45"/>
    <hyperlink r:id="rId161" ref="X45"/>
    <hyperlink r:id="rId162" ref="Y45"/>
    <hyperlink r:id="rId163" ref="V46"/>
    <hyperlink r:id="rId164" ref="W46"/>
    <hyperlink r:id="rId165" ref="X46"/>
    <hyperlink r:id="rId166" ref="Y46"/>
    <hyperlink r:id="rId167" ref="V48"/>
    <hyperlink r:id="rId168" ref="W48"/>
    <hyperlink r:id="rId169" ref="X48"/>
    <hyperlink r:id="rId170" ref="Y48"/>
    <hyperlink r:id="rId171" ref="V49"/>
    <hyperlink r:id="rId172" ref="W49"/>
    <hyperlink r:id="rId173" ref="X49"/>
    <hyperlink r:id="rId174" ref="Y49"/>
    <hyperlink r:id="rId175" ref="V50"/>
    <hyperlink r:id="rId176" ref="W50"/>
    <hyperlink r:id="rId177" ref="X50"/>
    <hyperlink r:id="rId178" ref="Y50"/>
    <hyperlink r:id="rId179" ref="V51"/>
    <hyperlink r:id="rId180" ref="W51"/>
    <hyperlink r:id="rId181" ref="X51"/>
    <hyperlink r:id="rId182" ref="Y51"/>
    <hyperlink r:id="rId183" ref="V52"/>
    <hyperlink r:id="rId184" ref="W52"/>
    <hyperlink r:id="rId185" ref="X52"/>
    <hyperlink r:id="rId186" ref="Y52"/>
    <hyperlink r:id="rId187" ref="V53"/>
    <hyperlink r:id="rId188" ref="W53"/>
    <hyperlink r:id="rId189" ref="X53"/>
    <hyperlink r:id="rId190" ref="Y53"/>
    <hyperlink r:id="rId191" ref="V54"/>
    <hyperlink r:id="rId192" ref="W54"/>
    <hyperlink r:id="rId193" ref="X54"/>
    <hyperlink r:id="rId194" ref="Y54"/>
    <hyperlink r:id="rId195" ref="V55"/>
    <hyperlink r:id="rId196" ref="W55"/>
    <hyperlink r:id="rId197" ref="X55"/>
    <hyperlink r:id="rId198" ref="Y55"/>
    <hyperlink r:id="rId199" ref="V56"/>
    <hyperlink r:id="rId200" ref="W56"/>
    <hyperlink r:id="rId201" ref="X56"/>
    <hyperlink r:id="rId202" ref="Y56"/>
    <hyperlink r:id="rId203" ref="V58"/>
    <hyperlink r:id="rId204" ref="W58"/>
    <hyperlink r:id="rId205" ref="X58"/>
    <hyperlink r:id="rId206" ref="Y58"/>
    <hyperlink r:id="rId207" ref="V59"/>
    <hyperlink r:id="rId208" ref="W59"/>
    <hyperlink r:id="rId209" ref="X59"/>
    <hyperlink r:id="rId210" ref="Y59"/>
    <hyperlink r:id="rId211" ref="V60"/>
    <hyperlink r:id="rId212" ref="W60"/>
    <hyperlink r:id="rId213" ref="V61"/>
    <hyperlink r:id="rId214" ref="W61"/>
    <hyperlink r:id="rId215" ref="X61"/>
    <hyperlink r:id="rId216" ref="Y61"/>
    <hyperlink r:id="rId217" ref="V62"/>
    <hyperlink r:id="rId218" ref="W62"/>
    <hyperlink r:id="rId219" ref="X62"/>
    <hyperlink r:id="rId220" ref="Y62"/>
    <hyperlink r:id="rId221" ref="V63"/>
    <hyperlink r:id="rId222" ref="W63"/>
    <hyperlink r:id="rId223" ref="X63"/>
    <hyperlink r:id="rId224" ref="Y63"/>
    <hyperlink r:id="rId225" ref="V64"/>
    <hyperlink r:id="rId226" ref="W64"/>
    <hyperlink r:id="rId227" ref="X64"/>
    <hyperlink r:id="rId228" ref="Y64"/>
    <hyperlink r:id="rId229" ref="V65"/>
    <hyperlink r:id="rId230" ref="W65"/>
    <hyperlink r:id="rId231" ref="X65"/>
    <hyperlink r:id="rId232" ref="Y65"/>
    <hyperlink r:id="rId233" ref="V67"/>
    <hyperlink r:id="rId234" ref="W67"/>
    <hyperlink r:id="rId235" ref="X67"/>
    <hyperlink r:id="rId236" ref="Y67"/>
    <hyperlink r:id="rId237" ref="V68"/>
    <hyperlink r:id="rId238" ref="W68"/>
    <hyperlink r:id="rId239" ref="X68"/>
    <hyperlink r:id="rId240" ref="Y68"/>
    <hyperlink r:id="rId241" ref="V69"/>
    <hyperlink r:id="rId242" ref="W69"/>
    <hyperlink r:id="rId243" ref="X69"/>
    <hyperlink r:id="rId244" ref="Y69"/>
    <hyperlink r:id="rId245" ref="V70"/>
    <hyperlink r:id="rId246" ref="W70"/>
    <hyperlink r:id="rId247" ref="X70"/>
    <hyperlink r:id="rId248" ref="Y70"/>
    <hyperlink r:id="rId249" ref="V71"/>
    <hyperlink r:id="rId250" ref="W71"/>
    <hyperlink r:id="rId251" ref="X71"/>
    <hyperlink r:id="rId252" ref="Y71"/>
    <hyperlink r:id="rId253" ref="V72"/>
    <hyperlink r:id="rId254" ref="W72"/>
    <hyperlink r:id="rId255" ref="X72"/>
    <hyperlink r:id="rId256" ref="Y72"/>
    <hyperlink r:id="rId257" ref="V73"/>
    <hyperlink r:id="rId258" ref="W73"/>
    <hyperlink r:id="rId259" ref="X73"/>
    <hyperlink r:id="rId260" ref="Y73"/>
    <hyperlink r:id="rId261" ref="V74"/>
    <hyperlink r:id="rId262" ref="W74"/>
    <hyperlink r:id="rId263" ref="X74"/>
    <hyperlink r:id="rId264" ref="Y74"/>
    <hyperlink r:id="rId265" ref="V75"/>
    <hyperlink r:id="rId266" ref="W75"/>
    <hyperlink r:id="rId267" ref="X75"/>
    <hyperlink r:id="rId268" ref="Y75"/>
    <hyperlink r:id="rId269" ref="V76"/>
    <hyperlink r:id="rId270" ref="W76"/>
    <hyperlink r:id="rId271" ref="X76"/>
    <hyperlink r:id="rId272" ref="Y76"/>
    <hyperlink r:id="rId273" ref="V77"/>
    <hyperlink r:id="rId274" ref="W77"/>
    <hyperlink r:id="rId275" ref="X77"/>
    <hyperlink r:id="rId276" ref="Y77"/>
    <hyperlink r:id="rId277" ref="V78"/>
    <hyperlink r:id="rId278" ref="W78"/>
    <hyperlink r:id="rId279" ref="X78"/>
    <hyperlink r:id="rId280" ref="Y78"/>
    <hyperlink r:id="rId281" ref="V79"/>
    <hyperlink r:id="rId282" ref="W79"/>
    <hyperlink r:id="rId283" ref="X79"/>
    <hyperlink r:id="rId284" ref="Y79"/>
    <hyperlink r:id="rId285" ref="V80"/>
    <hyperlink r:id="rId286" ref="W80"/>
    <hyperlink r:id="rId287" ref="X80"/>
    <hyperlink r:id="rId288" ref="Y80"/>
    <hyperlink r:id="rId289" ref="V81"/>
    <hyperlink r:id="rId290" ref="W81"/>
    <hyperlink r:id="rId291" ref="X81"/>
    <hyperlink r:id="rId292" ref="Y81"/>
    <hyperlink r:id="rId293" ref="V82"/>
    <hyperlink r:id="rId294" ref="W82"/>
    <hyperlink r:id="rId295" ref="X82"/>
    <hyperlink r:id="rId296" ref="Y82"/>
    <hyperlink r:id="rId297" ref="V83"/>
    <hyperlink r:id="rId298" ref="W83"/>
    <hyperlink r:id="rId299" ref="X83"/>
    <hyperlink r:id="rId300" ref="Y83"/>
    <hyperlink r:id="rId301" ref="V84"/>
    <hyperlink r:id="rId302" ref="W84"/>
    <hyperlink r:id="rId303" ref="X84"/>
    <hyperlink r:id="rId304" ref="Y84"/>
    <hyperlink r:id="rId305" ref="V85"/>
    <hyperlink r:id="rId306" ref="W85"/>
    <hyperlink r:id="rId307" ref="X85"/>
    <hyperlink r:id="rId308" ref="Y85"/>
    <hyperlink r:id="rId309" ref="V86"/>
    <hyperlink r:id="rId310" ref="W86"/>
    <hyperlink r:id="rId311" ref="X86"/>
    <hyperlink r:id="rId312" ref="Y86"/>
    <hyperlink r:id="rId313" ref="V87"/>
    <hyperlink r:id="rId314" ref="W87"/>
    <hyperlink r:id="rId315" ref="X87"/>
    <hyperlink r:id="rId316" ref="Y87"/>
    <hyperlink r:id="rId317" ref="V89"/>
    <hyperlink r:id="rId318" ref="W89"/>
    <hyperlink r:id="rId319" ref="X89"/>
    <hyperlink r:id="rId320" ref="Y89"/>
    <hyperlink r:id="rId321" ref="V90"/>
    <hyperlink r:id="rId322" ref="W90"/>
    <hyperlink r:id="rId323" ref="X90"/>
    <hyperlink r:id="rId324" ref="Y90"/>
    <hyperlink r:id="rId325" ref="V91"/>
    <hyperlink r:id="rId326" ref="W91"/>
    <hyperlink r:id="rId327" ref="X91"/>
    <hyperlink r:id="rId328" ref="Y91"/>
    <hyperlink r:id="rId329" ref="V92"/>
    <hyperlink r:id="rId330" ref="W92"/>
    <hyperlink r:id="rId331" ref="X92"/>
    <hyperlink r:id="rId332" ref="Y92"/>
    <hyperlink r:id="rId333" ref="V93"/>
    <hyperlink r:id="rId334" ref="W93"/>
    <hyperlink r:id="rId335" ref="X93"/>
    <hyperlink r:id="rId336" ref="Y93"/>
    <hyperlink r:id="rId337" ref="V94"/>
    <hyperlink r:id="rId338" ref="W94"/>
    <hyperlink r:id="rId339" ref="X94"/>
    <hyperlink r:id="rId340" ref="Y94"/>
    <hyperlink r:id="rId341" ref="V95"/>
    <hyperlink r:id="rId342" ref="W95"/>
    <hyperlink r:id="rId343" ref="X95"/>
    <hyperlink r:id="rId344" ref="Y95"/>
    <hyperlink r:id="rId345" ref="V96"/>
    <hyperlink r:id="rId346" ref="W96"/>
    <hyperlink r:id="rId347" ref="X96"/>
    <hyperlink r:id="rId348" ref="Y96"/>
    <hyperlink r:id="rId349" ref="V97"/>
    <hyperlink r:id="rId350" ref="W97"/>
    <hyperlink r:id="rId351" ref="X97"/>
    <hyperlink r:id="rId352" ref="Y97"/>
    <hyperlink r:id="rId353" ref="V98"/>
    <hyperlink r:id="rId354" ref="W98"/>
    <hyperlink r:id="rId355" ref="X98"/>
    <hyperlink r:id="rId356" ref="Y98"/>
    <hyperlink r:id="rId357" ref="V99"/>
    <hyperlink r:id="rId358" ref="W99"/>
    <hyperlink r:id="rId359" ref="X99"/>
    <hyperlink r:id="rId360" ref="Y99"/>
    <hyperlink r:id="rId361" ref="V100"/>
    <hyperlink r:id="rId362" ref="W100"/>
    <hyperlink r:id="rId363" ref="X100"/>
    <hyperlink r:id="rId364" ref="Y100"/>
    <hyperlink r:id="rId365" ref="V101"/>
    <hyperlink r:id="rId366" ref="W101"/>
    <hyperlink r:id="rId367" ref="X101"/>
    <hyperlink r:id="rId368" ref="Y101"/>
    <hyperlink r:id="rId369" ref="V102"/>
    <hyperlink r:id="rId370" ref="W102"/>
    <hyperlink r:id="rId371" ref="X102"/>
    <hyperlink r:id="rId372" ref="Y102"/>
    <hyperlink r:id="rId373" ref="V103"/>
    <hyperlink r:id="rId374" ref="W103"/>
    <hyperlink r:id="rId375" ref="X103"/>
    <hyperlink r:id="rId376" ref="Y103"/>
    <hyperlink r:id="rId377" ref="V104"/>
    <hyperlink r:id="rId378" ref="W104"/>
    <hyperlink r:id="rId379" ref="X104"/>
    <hyperlink r:id="rId380" ref="Y104"/>
    <hyperlink r:id="rId381" ref="V105"/>
    <hyperlink r:id="rId382" ref="W105"/>
    <hyperlink r:id="rId383" ref="X105"/>
    <hyperlink r:id="rId384" ref="Y105"/>
    <hyperlink r:id="rId385" ref="V106"/>
    <hyperlink r:id="rId386" ref="W106"/>
    <hyperlink r:id="rId387" ref="X106"/>
    <hyperlink r:id="rId388" ref="Y106"/>
    <hyperlink r:id="rId389" ref="V107"/>
    <hyperlink r:id="rId390" ref="W107"/>
    <hyperlink r:id="rId391" ref="X107"/>
    <hyperlink r:id="rId392" ref="Y107"/>
    <hyperlink r:id="rId393" ref="V108"/>
    <hyperlink r:id="rId394" ref="W108"/>
    <hyperlink r:id="rId395" ref="X108"/>
    <hyperlink r:id="rId396" ref="Y108"/>
    <hyperlink r:id="rId397" ref="V109"/>
    <hyperlink r:id="rId398" ref="W109"/>
    <hyperlink r:id="rId399" ref="X109"/>
    <hyperlink r:id="rId400" ref="Y109"/>
    <hyperlink r:id="rId401" ref="V110"/>
    <hyperlink r:id="rId402" ref="W110"/>
    <hyperlink r:id="rId403" ref="X110"/>
    <hyperlink r:id="rId404" ref="Y110"/>
    <hyperlink r:id="rId405" ref="V111"/>
    <hyperlink r:id="rId406" ref="W111"/>
    <hyperlink r:id="rId407" ref="X111"/>
    <hyperlink r:id="rId408" ref="Y111"/>
    <hyperlink r:id="rId409" ref="V112"/>
    <hyperlink r:id="rId410" ref="W112"/>
    <hyperlink r:id="rId411" ref="X112"/>
    <hyperlink r:id="rId412" ref="Y112"/>
    <hyperlink r:id="rId413" ref="V113"/>
    <hyperlink r:id="rId414" ref="W113"/>
    <hyperlink r:id="rId415" ref="X113"/>
    <hyperlink r:id="rId416" ref="Y113"/>
    <hyperlink r:id="rId417" ref="V114"/>
    <hyperlink r:id="rId418" ref="W114"/>
    <hyperlink r:id="rId419" ref="X114"/>
    <hyperlink r:id="rId420" ref="Y114"/>
    <hyperlink r:id="rId421" ref="V115"/>
    <hyperlink r:id="rId422" ref="W115"/>
    <hyperlink r:id="rId423" ref="X115"/>
    <hyperlink r:id="rId424" ref="Y115"/>
    <hyperlink r:id="rId425" ref="V116"/>
    <hyperlink r:id="rId426" ref="W116"/>
    <hyperlink r:id="rId427" ref="X116"/>
    <hyperlink r:id="rId428" ref="Y116"/>
    <hyperlink r:id="rId429" ref="V117"/>
    <hyperlink r:id="rId430" ref="W117"/>
    <hyperlink r:id="rId431" ref="X117"/>
    <hyperlink r:id="rId432" ref="Y117"/>
    <hyperlink r:id="rId433" ref="V118"/>
    <hyperlink r:id="rId434" ref="W118"/>
    <hyperlink r:id="rId435" ref="X118"/>
    <hyperlink r:id="rId436" ref="Y118"/>
    <hyperlink r:id="rId437" ref="U119"/>
    <hyperlink r:id="rId438" ref="V119"/>
    <hyperlink r:id="rId439" ref="W119"/>
    <hyperlink r:id="rId440" ref="X119"/>
    <hyperlink r:id="rId441" ref="Y119"/>
    <hyperlink r:id="rId442" ref="V120"/>
    <hyperlink r:id="rId443" ref="W120"/>
    <hyperlink r:id="rId444" ref="X120"/>
    <hyperlink r:id="rId445" ref="Y120"/>
    <hyperlink r:id="rId446" ref="V121"/>
    <hyperlink r:id="rId447" ref="W121"/>
    <hyperlink r:id="rId448" ref="X121"/>
    <hyperlink r:id="rId449" ref="Y121"/>
    <hyperlink r:id="rId450" ref="V122"/>
    <hyperlink r:id="rId451" ref="W122"/>
    <hyperlink r:id="rId452" ref="X122"/>
    <hyperlink r:id="rId453" ref="Y122"/>
    <hyperlink r:id="rId454" ref="V124"/>
    <hyperlink r:id="rId455" ref="W124"/>
    <hyperlink r:id="rId456" ref="X124"/>
    <hyperlink r:id="rId457" ref="Y124"/>
    <hyperlink r:id="rId458" ref="V125"/>
    <hyperlink r:id="rId459" ref="W125"/>
    <hyperlink r:id="rId460" ref="X125"/>
    <hyperlink r:id="rId461" ref="Y125"/>
    <hyperlink r:id="rId462" ref="V126"/>
    <hyperlink r:id="rId463" ref="W126"/>
    <hyperlink r:id="rId464" ref="X126"/>
    <hyperlink r:id="rId465" ref="Y126"/>
    <hyperlink r:id="rId466" ref="V127"/>
    <hyperlink r:id="rId467" ref="W127"/>
    <hyperlink r:id="rId468" ref="X127"/>
    <hyperlink r:id="rId469" ref="Y127"/>
    <hyperlink r:id="rId470" ref="V128"/>
    <hyperlink r:id="rId471" ref="W128"/>
    <hyperlink r:id="rId472" ref="X128"/>
    <hyperlink r:id="rId473" ref="Y128"/>
    <hyperlink r:id="rId474" ref="V129"/>
    <hyperlink r:id="rId475" ref="W129"/>
    <hyperlink r:id="rId476" ref="X129"/>
    <hyperlink r:id="rId477" ref="Y129"/>
    <hyperlink r:id="rId478" ref="V130"/>
    <hyperlink r:id="rId479" ref="W130"/>
    <hyperlink r:id="rId480" ref="X130"/>
    <hyperlink r:id="rId481" ref="Y130"/>
    <hyperlink r:id="rId482" ref="V131"/>
    <hyperlink r:id="rId483" ref="W131"/>
    <hyperlink r:id="rId484" ref="X131"/>
    <hyperlink r:id="rId485" ref="Y131"/>
    <hyperlink r:id="rId486" ref="V132"/>
    <hyperlink r:id="rId487" ref="W132"/>
    <hyperlink r:id="rId488" ref="X132"/>
    <hyperlink r:id="rId489" ref="Y132"/>
    <hyperlink r:id="rId490" ref="V133"/>
    <hyperlink r:id="rId491" ref="W133"/>
    <hyperlink r:id="rId492" ref="X133"/>
    <hyperlink r:id="rId493" ref="Y133"/>
    <hyperlink r:id="rId494" ref="V134"/>
    <hyperlink r:id="rId495" ref="W134"/>
    <hyperlink r:id="rId496" ref="X134"/>
    <hyperlink r:id="rId497" ref="Y134"/>
    <hyperlink r:id="rId498" ref="V135"/>
    <hyperlink r:id="rId499" ref="W135"/>
    <hyperlink r:id="rId500" ref="X135"/>
    <hyperlink r:id="rId501" ref="Y135"/>
    <hyperlink r:id="rId502" ref="V136"/>
    <hyperlink r:id="rId503" ref="W136"/>
    <hyperlink r:id="rId504" ref="X136"/>
    <hyperlink r:id="rId505" ref="Y136"/>
    <hyperlink r:id="rId506" ref="V137"/>
    <hyperlink r:id="rId507" ref="W137"/>
    <hyperlink r:id="rId508" ref="X137"/>
    <hyperlink r:id="rId509" ref="Y137"/>
    <hyperlink r:id="rId510" ref="V139"/>
    <hyperlink r:id="rId511" ref="W139"/>
    <hyperlink r:id="rId512" ref="X139"/>
    <hyperlink r:id="rId513" ref="Y139"/>
    <hyperlink r:id="rId514" ref="V140"/>
    <hyperlink r:id="rId515" ref="W140"/>
    <hyperlink r:id="rId516" ref="X140"/>
    <hyperlink r:id="rId517" ref="Y140"/>
    <hyperlink r:id="rId518" ref="V141"/>
    <hyperlink r:id="rId519" ref="W141"/>
    <hyperlink r:id="rId520" ref="X141"/>
    <hyperlink r:id="rId521" ref="V142"/>
    <hyperlink r:id="rId522" ref="W142"/>
    <hyperlink r:id="rId523" ref="X142"/>
    <hyperlink r:id="rId524" ref="Y142"/>
    <hyperlink r:id="rId525" ref="V143"/>
    <hyperlink r:id="rId526" ref="W143"/>
    <hyperlink r:id="rId527" ref="X143"/>
    <hyperlink r:id="rId528" ref="Y143"/>
    <hyperlink r:id="rId529" ref="V144"/>
    <hyperlink r:id="rId530" ref="W144"/>
    <hyperlink r:id="rId531" ref="X144"/>
    <hyperlink r:id="rId532" ref="Y144"/>
    <hyperlink r:id="rId533" ref="V145"/>
    <hyperlink r:id="rId534" ref="W145"/>
    <hyperlink r:id="rId535" ref="X145"/>
    <hyperlink r:id="rId536" ref="Y145"/>
    <hyperlink r:id="rId537" ref="V146"/>
    <hyperlink r:id="rId538" ref="W146"/>
    <hyperlink r:id="rId539" ref="X146"/>
    <hyperlink r:id="rId540" ref="Y146"/>
    <hyperlink r:id="rId541" ref="V147"/>
    <hyperlink r:id="rId542" ref="W147"/>
    <hyperlink r:id="rId543" ref="X147"/>
    <hyperlink r:id="rId544" ref="V148"/>
    <hyperlink r:id="rId545" ref="W148"/>
    <hyperlink r:id="rId546" ref="X148"/>
    <hyperlink r:id="rId547" ref="Y148"/>
    <hyperlink r:id="rId548" ref="V149"/>
    <hyperlink r:id="rId549" ref="W149"/>
    <hyperlink r:id="rId550" ref="X149"/>
    <hyperlink r:id="rId551" ref="Y149"/>
    <hyperlink r:id="rId552" ref="V150"/>
    <hyperlink r:id="rId553" ref="W150"/>
    <hyperlink r:id="rId554" ref="X150"/>
    <hyperlink r:id="rId555" ref="Y150"/>
    <hyperlink r:id="rId556" ref="V151"/>
    <hyperlink r:id="rId557" ref="W151"/>
    <hyperlink r:id="rId558" ref="X151"/>
    <hyperlink r:id="rId559" ref="Y151"/>
    <hyperlink r:id="rId560" ref="V152"/>
    <hyperlink r:id="rId561" ref="W152"/>
    <hyperlink r:id="rId562" ref="X152"/>
    <hyperlink r:id="rId563" ref="Y152"/>
    <hyperlink r:id="rId564" ref="V153"/>
    <hyperlink r:id="rId565" ref="W153"/>
    <hyperlink r:id="rId566" ref="X153"/>
    <hyperlink r:id="rId567" ref="Y153"/>
    <hyperlink r:id="rId568" ref="V154"/>
    <hyperlink r:id="rId569" ref="W154"/>
    <hyperlink r:id="rId570" ref="X154"/>
    <hyperlink r:id="rId571" ref="Y154"/>
    <hyperlink r:id="rId572" ref="V155"/>
    <hyperlink r:id="rId573" ref="W155"/>
    <hyperlink r:id="rId574" ref="V156"/>
    <hyperlink r:id="rId575" ref="W156"/>
    <hyperlink r:id="rId576" ref="X156"/>
    <hyperlink r:id="rId577" ref="Y156"/>
    <hyperlink r:id="rId578" ref="V157"/>
    <hyperlink r:id="rId579" ref="W157"/>
    <hyperlink r:id="rId580" ref="X157"/>
    <hyperlink r:id="rId581" ref="Y157"/>
    <hyperlink r:id="rId582" ref="V158"/>
    <hyperlink r:id="rId583" ref="W158"/>
    <hyperlink r:id="rId584" ref="X158"/>
    <hyperlink r:id="rId585" ref="Y158"/>
    <hyperlink r:id="rId586" ref="V159"/>
    <hyperlink r:id="rId587" ref="W159"/>
    <hyperlink r:id="rId588" ref="X159"/>
    <hyperlink r:id="rId589" ref="Y159"/>
    <hyperlink r:id="rId590" ref="V160"/>
    <hyperlink r:id="rId591" ref="W160"/>
    <hyperlink r:id="rId592" ref="X160"/>
    <hyperlink r:id="rId593" ref="Y160"/>
    <hyperlink r:id="rId594" ref="V161"/>
    <hyperlink r:id="rId595" ref="W161"/>
    <hyperlink r:id="rId596" ref="X161"/>
    <hyperlink r:id="rId597" ref="Y161"/>
    <hyperlink r:id="rId598" ref="V162"/>
    <hyperlink r:id="rId599" ref="W162"/>
    <hyperlink r:id="rId600" ref="X162"/>
    <hyperlink r:id="rId601" ref="Y162"/>
    <hyperlink r:id="rId602" ref="V163"/>
    <hyperlink r:id="rId603" ref="W163"/>
    <hyperlink r:id="rId604" ref="X163"/>
    <hyperlink r:id="rId605" ref="Y163"/>
    <hyperlink r:id="rId606" ref="V164"/>
    <hyperlink r:id="rId607" ref="W164"/>
    <hyperlink r:id="rId608" ref="X164"/>
    <hyperlink r:id="rId609" ref="Y164"/>
    <hyperlink r:id="rId610" ref="V165"/>
    <hyperlink r:id="rId611" ref="W165"/>
    <hyperlink r:id="rId612" ref="X165"/>
    <hyperlink r:id="rId613" ref="Y165"/>
    <hyperlink r:id="rId614" ref="V166"/>
    <hyperlink r:id="rId615" ref="W166"/>
    <hyperlink r:id="rId616" ref="X166"/>
    <hyperlink r:id="rId617" ref="Y166"/>
    <hyperlink r:id="rId618" ref="V167"/>
    <hyperlink r:id="rId619" ref="W167"/>
    <hyperlink r:id="rId620" ref="X167"/>
    <hyperlink r:id="rId621" ref="Y167"/>
    <hyperlink r:id="rId622" ref="V168"/>
    <hyperlink r:id="rId623" ref="W168"/>
    <hyperlink r:id="rId624" ref="V169"/>
    <hyperlink r:id="rId625" ref="W169"/>
    <hyperlink r:id="rId626" ref="X169"/>
    <hyperlink r:id="rId627" ref="Y169"/>
    <hyperlink r:id="rId628" ref="V170"/>
    <hyperlink r:id="rId629" ref="W170"/>
    <hyperlink r:id="rId630" ref="X170"/>
    <hyperlink r:id="rId631" ref="Y170"/>
    <hyperlink r:id="rId632" ref="V171"/>
    <hyperlink r:id="rId633" ref="W171"/>
    <hyperlink r:id="rId634" ref="X171"/>
    <hyperlink r:id="rId635" ref="Y171"/>
    <hyperlink r:id="rId636" ref="V172"/>
    <hyperlink r:id="rId637" ref="W172"/>
    <hyperlink r:id="rId638" ref="X172"/>
    <hyperlink r:id="rId639" ref="Y172"/>
    <hyperlink r:id="rId640" ref="V173"/>
    <hyperlink r:id="rId641" ref="W173"/>
    <hyperlink r:id="rId642" ref="X173"/>
    <hyperlink r:id="rId643" ref="Y173"/>
    <hyperlink r:id="rId644" ref="V174"/>
    <hyperlink r:id="rId645" ref="W174"/>
    <hyperlink r:id="rId646" ref="X174"/>
    <hyperlink r:id="rId647" ref="Y174"/>
    <hyperlink r:id="rId648" ref="V175"/>
    <hyperlink r:id="rId649" ref="W175"/>
    <hyperlink r:id="rId650" ref="X175"/>
    <hyperlink r:id="rId651" ref="Y175"/>
    <hyperlink r:id="rId652" ref="V176"/>
    <hyperlink r:id="rId653" ref="W176"/>
    <hyperlink r:id="rId654" ref="X176"/>
    <hyperlink r:id="rId655" ref="Y176"/>
    <hyperlink r:id="rId656" ref="V177"/>
    <hyperlink r:id="rId657" ref="W177"/>
    <hyperlink r:id="rId658" ref="X177"/>
    <hyperlink r:id="rId659" ref="Y177"/>
    <hyperlink r:id="rId660" ref="V178"/>
    <hyperlink r:id="rId661" ref="W178"/>
    <hyperlink r:id="rId662" ref="X178"/>
    <hyperlink r:id="rId663" ref="Y178"/>
    <hyperlink r:id="rId664" ref="V179"/>
    <hyperlink r:id="rId665" ref="W179"/>
    <hyperlink r:id="rId666" ref="X179"/>
    <hyperlink r:id="rId667" ref="Y179"/>
    <hyperlink r:id="rId668" ref="V180"/>
    <hyperlink r:id="rId669" ref="W180"/>
    <hyperlink r:id="rId670" ref="X180"/>
    <hyperlink r:id="rId671" ref="Y180"/>
    <hyperlink r:id="rId672" ref="V181"/>
    <hyperlink r:id="rId673" ref="W181"/>
    <hyperlink r:id="rId674" ref="X181"/>
    <hyperlink r:id="rId675" ref="Y181"/>
    <hyperlink r:id="rId676" ref="V182"/>
    <hyperlink r:id="rId677" ref="W182"/>
    <hyperlink r:id="rId678" ref="X182"/>
    <hyperlink r:id="rId679" ref="Y182"/>
    <hyperlink r:id="rId680" ref="V183"/>
    <hyperlink r:id="rId681" ref="W183"/>
    <hyperlink r:id="rId682" ref="X183"/>
    <hyperlink r:id="rId683" ref="Y183"/>
    <hyperlink r:id="rId684" ref="V184"/>
    <hyperlink r:id="rId685" ref="W184"/>
    <hyperlink r:id="rId686" ref="X184"/>
    <hyperlink r:id="rId687" ref="Y184"/>
    <hyperlink r:id="rId688" ref="V185"/>
    <hyperlink r:id="rId689" ref="W185"/>
    <hyperlink r:id="rId690" ref="X185"/>
    <hyperlink r:id="rId691" ref="Y185"/>
    <hyperlink r:id="rId692" ref="V186"/>
    <hyperlink r:id="rId693" ref="W186"/>
    <hyperlink r:id="rId694" ref="X186"/>
    <hyperlink r:id="rId695" ref="Y186"/>
    <hyperlink r:id="rId696" ref="V188"/>
    <hyperlink r:id="rId697" ref="W188"/>
    <hyperlink r:id="rId698" ref="X188"/>
    <hyperlink r:id="rId699" ref="Y188"/>
    <hyperlink r:id="rId700" ref="V189"/>
    <hyperlink r:id="rId701" ref="W189"/>
    <hyperlink r:id="rId702" ref="X189"/>
    <hyperlink r:id="rId703" ref="Y189"/>
    <hyperlink r:id="rId704" ref="V190"/>
    <hyperlink r:id="rId705" ref="W190"/>
    <hyperlink r:id="rId706" ref="X190"/>
    <hyperlink r:id="rId707" ref="Y190"/>
    <hyperlink r:id="rId708" ref="V191"/>
    <hyperlink r:id="rId709" ref="W191"/>
    <hyperlink r:id="rId710" ref="V192"/>
    <hyperlink r:id="rId711" ref="W192"/>
    <hyperlink r:id="rId712" ref="X192"/>
    <hyperlink r:id="rId713" ref="Y192"/>
    <hyperlink r:id="rId714" ref="V193"/>
    <hyperlink r:id="rId715" ref="W193"/>
    <hyperlink r:id="rId716" ref="X193"/>
    <hyperlink r:id="rId717" ref="Y193"/>
    <hyperlink r:id="rId718" ref="V194"/>
    <hyperlink r:id="rId719" ref="W194"/>
    <hyperlink r:id="rId720" ref="X194"/>
    <hyperlink r:id="rId721" ref="Y194"/>
    <hyperlink r:id="rId722" ref="V195"/>
    <hyperlink r:id="rId723" ref="W195"/>
    <hyperlink r:id="rId724" ref="X195"/>
    <hyperlink r:id="rId725" ref="Y195"/>
    <hyperlink r:id="rId726" ref="V196"/>
    <hyperlink r:id="rId727" ref="W196"/>
    <hyperlink r:id="rId728" ref="X196"/>
    <hyperlink r:id="rId729" ref="Y196"/>
    <hyperlink r:id="rId730" ref="V197"/>
    <hyperlink r:id="rId731" ref="W197"/>
    <hyperlink r:id="rId732" ref="X197"/>
    <hyperlink r:id="rId733" ref="Y197"/>
    <hyperlink r:id="rId734" ref="V198"/>
    <hyperlink r:id="rId735" ref="W198"/>
    <hyperlink r:id="rId736" ref="X198"/>
    <hyperlink r:id="rId737" ref="Y198"/>
    <hyperlink r:id="rId738" ref="V199"/>
    <hyperlink r:id="rId739" ref="W199"/>
    <hyperlink r:id="rId740" ref="X199"/>
    <hyperlink r:id="rId741" ref="Y199"/>
    <hyperlink r:id="rId742" ref="V200"/>
    <hyperlink r:id="rId743" ref="W200"/>
    <hyperlink r:id="rId744" ref="X200"/>
    <hyperlink r:id="rId745" ref="Y200"/>
    <hyperlink r:id="rId746" ref="V201"/>
    <hyperlink r:id="rId747" ref="W201"/>
    <hyperlink r:id="rId748" ref="X201"/>
    <hyperlink r:id="rId749" ref="Y201"/>
    <hyperlink r:id="rId750" ref="V202"/>
    <hyperlink r:id="rId751" ref="W202"/>
    <hyperlink r:id="rId752" ref="X202"/>
    <hyperlink r:id="rId753" ref="Y202"/>
    <hyperlink r:id="rId754" ref="V203"/>
    <hyperlink r:id="rId755" ref="W203"/>
    <hyperlink r:id="rId756" ref="X203"/>
    <hyperlink r:id="rId757" ref="Y203"/>
    <hyperlink r:id="rId758" ref="V204"/>
    <hyperlink r:id="rId759" ref="W204"/>
    <hyperlink r:id="rId760" ref="X204"/>
    <hyperlink r:id="rId761" ref="Y204"/>
    <hyperlink r:id="rId762" ref="V205"/>
    <hyperlink r:id="rId763" ref="W205"/>
    <hyperlink r:id="rId764" ref="X205"/>
    <hyperlink r:id="rId765" ref="Y205"/>
    <hyperlink r:id="rId766" ref="V206"/>
    <hyperlink r:id="rId767" ref="W206"/>
    <hyperlink r:id="rId768" ref="X206"/>
    <hyperlink r:id="rId769" ref="Y206"/>
    <hyperlink r:id="rId770" ref="V207"/>
    <hyperlink r:id="rId771" ref="W207"/>
    <hyperlink r:id="rId772" ref="X207"/>
    <hyperlink r:id="rId773" ref="Y207"/>
    <hyperlink r:id="rId774" ref="V208"/>
    <hyperlink r:id="rId775" ref="W208"/>
    <hyperlink r:id="rId776" ref="X208"/>
    <hyperlink r:id="rId777" ref="V209"/>
    <hyperlink r:id="rId778" ref="W209"/>
    <hyperlink r:id="rId779" ref="X209"/>
    <hyperlink r:id="rId780" ref="Y209"/>
    <hyperlink r:id="rId781" ref="V210"/>
    <hyperlink r:id="rId782" ref="W210"/>
    <hyperlink r:id="rId783" ref="X210"/>
    <hyperlink r:id="rId784" ref="Y210"/>
    <hyperlink r:id="rId785" ref="V211"/>
    <hyperlink r:id="rId786" ref="W211"/>
    <hyperlink r:id="rId787" ref="X211"/>
    <hyperlink r:id="rId788" ref="Y211"/>
    <hyperlink r:id="rId789" ref="V212"/>
    <hyperlink r:id="rId790" ref="W212"/>
    <hyperlink r:id="rId791" ref="X212"/>
    <hyperlink r:id="rId792" ref="Y212"/>
    <hyperlink r:id="rId793" ref="V213"/>
    <hyperlink r:id="rId794" ref="W213"/>
    <hyperlink r:id="rId795" ref="X213"/>
    <hyperlink r:id="rId796" ref="Y213"/>
    <hyperlink r:id="rId797" ref="V214"/>
    <hyperlink r:id="rId798" ref="W214"/>
    <hyperlink r:id="rId799" ref="X214"/>
    <hyperlink r:id="rId800" ref="Y214"/>
    <hyperlink r:id="rId801" ref="V215"/>
    <hyperlink r:id="rId802" ref="W215"/>
    <hyperlink r:id="rId803" ref="X215"/>
    <hyperlink r:id="rId804" ref="Y215"/>
    <hyperlink r:id="rId805" ref="V216"/>
    <hyperlink r:id="rId806" ref="W216"/>
    <hyperlink r:id="rId807" ref="X216"/>
    <hyperlink r:id="rId808" ref="Y216"/>
    <hyperlink r:id="rId809" ref="V217"/>
    <hyperlink r:id="rId810" ref="W217"/>
    <hyperlink r:id="rId811" ref="X217"/>
    <hyperlink r:id="rId812" ref="Y217"/>
    <hyperlink r:id="rId813" ref="V218"/>
    <hyperlink r:id="rId814" ref="W218"/>
    <hyperlink r:id="rId815" ref="X218"/>
    <hyperlink r:id="rId816" ref="Y218"/>
    <hyperlink r:id="rId817" ref="V219"/>
    <hyperlink r:id="rId818" ref="W219"/>
    <hyperlink r:id="rId819" ref="X219"/>
    <hyperlink r:id="rId820" ref="Y219"/>
    <hyperlink r:id="rId821" ref="V220"/>
    <hyperlink r:id="rId822" ref="W220"/>
    <hyperlink r:id="rId823" ref="X220"/>
    <hyperlink r:id="rId824" ref="Y220"/>
    <hyperlink r:id="rId825" ref="V221"/>
    <hyperlink r:id="rId826" ref="W221"/>
    <hyperlink r:id="rId827" ref="X221"/>
    <hyperlink r:id="rId828" ref="Y221"/>
    <hyperlink r:id="rId829" ref="V222"/>
    <hyperlink r:id="rId830" ref="W222"/>
    <hyperlink r:id="rId831" ref="X222"/>
    <hyperlink r:id="rId832" ref="Y222"/>
    <hyperlink r:id="rId833" ref="V223"/>
    <hyperlink r:id="rId834" ref="W223"/>
    <hyperlink r:id="rId835" ref="X223"/>
    <hyperlink r:id="rId836" ref="Y223"/>
    <hyperlink r:id="rId837" ref="V224"/>
    <hyperlink r:id="rId838" ref="W224"/>
    <hyperlink r:id="rId839" ref="X224"/>
    <hyperlink r:id="rId840" ref="Y224"/>
    <hyperlink r:id="rId841" ref="V225"/>
    <hyperlink r:id="rId842" ref="W225"/>
    <hyperlink r:id="rId843" ref="X225"/>
    <hyperlink r:id="rId844" ref="Y225"/>
    <hyperlink r:id="rId845" ref="V226"/>
    <hyperlink r:id="rId846" ref="W226"/>
    <hyperlink r:id="rId847" ref="X226"/>
    <hyperlink r:id="rId848" ref="Y226"/>
    <hyperlink r:id="rId849" ref="V227"/>
    <hyperlink r:id="rId850" ref="W227"/>
    <hyperlink r:id="rId851" ref="X227"/>
    <hyperlink r:id="rId852" ref="Y227"/>
    <hyperlink r:id="rId853" ref="V228"/>
    <hyperlink r:id="rId854" ref="W228"/>
    <hyperlink r:id="rId855" ref="X228"/>
    <hyperlink r:id="rId856" ref="Y228"/>
    <hyperlink r:id="rId857" ref="V229"/>
    <hyperlink r:id="rId858" ref="W229"/>
    <hyperlink r:id="rId859" ref="X229"/>
    <hyperlink r:id="rId860" ref="Y229"/>
    <hyperlink r:id="rId861" ref="V230"/>
    <hyperlink r:id="rId862" ref="W230"/>
    <hyperlink r:id="rId863" ref="X230"/>
    <hyperlink r:id="rId864" ref="Y230"/>
    <hyperlink r:id="rId865" ref="V231"/>
    <hyperlink r:id="rId866" ref="W231"/>
    <hyperlink r:id="rId867" ref="X231"/>
    <hyperlink r:id="rId868" ref="Y231"/>
    <hyperlink r:id="rId869" ref="V232"/>
    <hyperlink r:id="rId870" ref="W232"/>
    <hyperlink r:id="rId871" ref="X232"/>
    <hyperlink r:id="rId872" ref="Y232"/>
    <hyperlink r:id="rId873" ref="V233"/>
    <hyperlink r:id="rId874" ref="W233"/>
    <hyperlink r:id="rId875" ref="V234"/>
    <hyperlink r:id="rId876" ref="W234"/>
    <hyperlink r:id="rId877" ref="X234"/>
    <hyperlink r:id="rId878" ref="Y234"/>
    <hyperlink r:id="rId879" ref="V235"/>
    <hyperlink r:id="rId880" ref="W235"/>
    <hyperlink r:id="rId881" ref="X235"/>
    <hyperlink r:id="rId882" ref="Y235"/>
    <hyperlink r:id="rId883" ref="V237"/>
    <hyperlink r:id="rId884" ref="W237"/>
    <hyperlink r:id="rId885" ref="X237"/>
    <hyperlink r:id="rId886" ref="Y237"/>
    <hyperlink r:id="rId887" ref="V238"/>
    <hyperlink r:id="rId888" ref="W238"/>
    <hyperlink r:id="rId889" ref="X238"/>
    <hyperlink r:id="rId890" ref="Y238"/>
    <hyperlink r:id="rId891" ref="V239"/>
    <hyperlink r:id="rId892" ref="W239"/>
    <hyperlink r:id="rId893" ref="X239"/>
    <hyperlink r:id="rId894" ref="Y239"/>
    <hyperlink r:id="rId895" ref="V240"/>
    <hyperlink r:id="rId896" ref="W240"/>
    <hyperlink r:id="rId897" ref="X240"/>
    <hyperlink r:id="rId898" ref="Y240"/>
    <hyperlink r:id="rId899" ref="V241"/>
    <hyperlink r:id="rId900" ref="W241"/>
    <hyperlink r:id="rId901" ref="X241"/>
    <hyperlink r:id="rId902" ref="Y241"/>
    <hyperlink r:id="rId903" ref="V242"/>
    <hyperlink r:id="rId904" ref="W242"/>
    <hyperlink r:id="rId905" ref="X242"/>
    <hyperlink r:id="rId906" ref="Y242"/>
    <hyperlink r:id="rId907" ref="V243"/>
    <hyperlink r:id="rId908" ref="W243"/>
    <hyperlink r:id="rId909" ref="X243"/>
    <hyperlink r:id="rId910" ref="Y243"/>
    <hyperlink r:id="rId911" ref="V244"/>
    <hyperlink r:id="rId912" ref="W244"/>
    <hyperlink r:id="rId913" ref="X244"/>
    <hyperlink r:id="rId914" ref="V245"/>
    <hyperlink r:id="rId915" ref="W245"/>
    <hyperlink r:id="rId916" ref="X245"/>
    <hyperlink r:id="rId917" ref="Y245"/>
    <hyperlink r:id="rId918" ref="V246"/>
    <hyperlink r:id="rId919" ref="W246"/>
    <hyperlink r:id="rId920" ref="X246"/>
    <hyperlink r:id="rId921" ref="Y246"/>
    <hyperlink r:id="rId922" ref="V247"/>
    <hyperlink r:id="rId923" ref="W247"/>
    <hyperlink r:id="rId924" ref="X247"/>
    <hyperlink r:id="rId925" ref="Y247"/>
    <hyperlink r:id="rId926" ref="V248"/>
    <hyperlink r:id="rId927" ref="W248"/>
    <hyperlink r:id="rId928" ref="X248"/>
    <hyperlink r:id="rId929" ref="Y248"/>
    <hyperlink r:id="rId930" ref="V249"/>
    <hyperlink r:id="rId931" ref="W249"/>
    <hyperlink r:id="rId932" ref="X249"/>
    <hyperlink r:id="rId933" ref="Y249"/>
    <hyperlink r:id="rId934" ref="V250"/>
    <hyperlink r:id="rId935" ref="W250"/>
    <hyperlink r:id="rId936" ref="X250"/>
    <hyperlink r:id="rId937" ref="Y250"/>
    <hyperlink r:id="rId938" ref="V251"/>
    <hyperlink r:id="rId939" ref="W251"/>
    <hyperlink r:id="rId940" ref="X251"/>
    <hyperlink r:id="rId941" ref="Y251"/>
    <hyperlink r:id="rId942" ref="V252"/>
    <hyperlink r:id="rId943" ref="W252"/>
    <hyperlink r:id="rId944" ref="X252"/>
    <hyperlink r:id="rId945" ref="Y252"/>
    <hyperlink r:id="rId946" ref="V253"/>
    <hyperlink r:id="rId947" ref="W253"/>
    <hyperlink r:id="rId948" ref="X253"/>
    <hyperlink r:id="rId949" ref="Y253"/>
    <hyperlink r:id="rId950" ref="V254"/>
    <hyperlink r:id="rId951" ref="W254"/>
    <hyperlink r:id="rId952" ref="X254"/>
    <hyperlink r:id="rId953" ref="Y254"/>
    <hyperlink r:id="rId954" ref="V255"/>
    <hyperlink r:id="rId955" ref="W255"/>
    <hyperlink r:id="rId956" ref="X255"/>
    <hyperlink r:id="rId957" ref="Y255"/>
    <hyperlink r:id="rId958" ref="V256"/>
    <hyperlink r:id="rId959" ref="W256"/>
    <hyperlink r:id="rId960" ref="X256"/>
    <hyperlink r:id="rId961" ref="Y256"/>
    <hyperlink r:id="rId962" ref="V257"/>
    <hyperlink r:id="rId963" ref="W257"/>
    <hyperlink r:id="rId964" ref="X257"/>
    <hyperlink r:id="rId965" ref="Y257"/>
    <hyperlink r:id="rId966" ref="V258"/>
    <hyperlink r:id="rId967" ref="W258"/>
    <hyperlink r:id="rId968" ref="X258"/>
    <hyperlink r:id="rId969" ref="Y258"/>
    <hyperlink r:id="rId970" ref="V259"/>
    <hyperlink r:id="rId971" ref="W259"/>
    <hyperlink r:id="rId972" ref="X259"/>
    <hyperlink r:id="rId973" ref="Y259"/>
    <hyperlink r:id="rId974" ref="V260"/>
    <hyperlink r:id="rId975" ref="W260"/>
    <hyperlink r:id="rId976" ref="X260"/>
    <hyperlink r:id="rId977" ref="Y260"/>
    <hyperlink r:id="rId978" ref="V261"/>
    <hyperlink r:id="rId979" ref="W261"/>
    <hyperlink r:id="rId980" ref="X261"/>
    <hyperlink r:id="rId981" ref="Y261"/>
    <hyperlink r:id="rId982" ref="V262"/>
    <hyperlink r:id="rId983" ref="W262"/>
    <hyperlink r:id="rId984" ref="X262"/>
    <hyperlink r:id="rId985" ref="Y262"/>
    <hyperlink r:id="rId986" ref="V263"/>
    <hyperlink r:id="rId987" ref="W263"/>
    <hyperlink r:id="rId988" ref="X263"/>
    <hyperlink r:id="rId989" ref="Y263"/>
    <hyperlink r:id="rId990" ref="V264"/>
    <hyperlink r:id="rId991" ref="W264"/>
    <hyperlink r:id="rId992" ref="X264"/>
    <hyperlink r:id="rId993" ref="Y264"/>
    <hyperlink r:id="rId994" ref="V265"/>
    <hyperlink r:id="rId995" ref="W265"/>
    <hyperlink r:id="rId996" ref="X265"/>
    <hyperlink r:id="rId997" ref="Y265"/>
    <hyperlink r:id="rId998" ref="V266"/>
    <hyperlink r:id="rId999" ref="W266"/>
    <hyperlink r:id="rId1000" ref="X266"/>
    <hyperlink r:id="rId1001" ref="Y266"/>
    <hyperlink r:id="rId1002" ref="V267"/>
    <hyperlink r:id="rId1003" ref="W267"/>
    <hyperlink r:id="rId1004" ref="X267"/>
    <hyperlink r:id="rId1005" ref="Y267"/>
    <hyperlink r:id="rId1006" ref="V268"/>
    <hyperlink r:id="rId1007" ref="W268"/>
    <hyperlink r:id="rId1008" ref="X268"/>
    <hyperlink r:id="rId1009" ref="Y268"/>
    <hyperlink r:id="rId1010" ref="V269"/>
    <hyperlink r:id="rId1011" ref="W269"/>
    <hyperlink r:id="rId1012" ref="X269"/>
    <hyperlink r:id="rId1013" ref="Y269"/>
    <hyperlink r:id="rId1014" ref="V270"/>
    <hyperlink r:id="rId1015" ref="W270"/>
    <hyperlink r:id="rId1016" ref="X270"/>
    <hyperlink r:id="rId1017" ref="Y270"/>
    <hyperlink r:id="rId1018" ref="V271"/>
    <hyperlink r:id="rId1019" ref="W271"/>
    <hyperlink r:id="rId1020" ref="X271"/>
    <hyperlink r:id="rId1021" ref="Y271"/>
    <hyperlink r:id="rId1022" ref="V272"/>
    <hyperlink r:id="rId1023" ref="W272"/>
    <hyperlink r:id="rId1024" ref="X272"/>
    <hyperlink r:id="rId1025" ref="Y272"/>
    <hyperlink r:id="rId1026" ref="V273"/>
    <hyperlink r:id="rId1027" ref="W273"/>
    <hyperlink r:id="rId1028" ref="X273"/>
    <hyperlink r:id="rId1029" ref="Y273"/>
    <hyperlink r:id="rId1030" ref="V274"/>
    <hyperlink r:id="rId1031" ref="W274"/>
    <hyperlink r:id="rId1032" ref="X274"/>
    <hyperlink r:id="rId1033" ref="Y274"/>
    <hyperlink r:id="rId1034" ref="X276"/>
    <hyperlink r:id="rId1035" ref="Y276"/>
    <hyperlink r:id="rId1036" ref="V278"/>
    <hyperlink r:id="rId1037" ref="W278"/>
    <hyperlink r:id="rId1038" ref="X278"/>
    <hyperlink r:id="rId1039" ref="Y278"/>
    <hyperlink r:id="rId1040" ref="V279"/>
    <hyperlink r:id="rId1041" ref="W279"/>
    <hyperlink r:id="rId1042" ref="X279"/>
    <hyperlink r:id="rId1043" ref="Y279"/>
    <hyperlink r:id="rId1044" ref="V280"/>
    <hyperlink r:id="rId1045" ref="W280"/>
    <hyperlink r:id="rId1046" ref="X280"/>
    <hyperlink r:id="rId1047" ref="Y280"/>
    <hyperlink r:id="rId1048" ref="V281"/>
    <hyperlink r:id="rId1049" ref="W281"/>
    <hyperlink r:id="rId1050" ref="X281"/>
    <hyperlink r:id="rId1051" ref="Y281"/>
    <hyperlink r:id="rId1052" ref="V282"/>
    <hyperlink r:id="rId1053" ref="W282"/>
    <hyperlink r:id="rId1054" ref="X282"/>
    <hyperlink r:id="rId1055" ref="Y282"/>
    <hyperlink r:id="rId1056" ref="V283"/>
    <hyperlink r:id="rId1057" ref="W283"/>
    <hyperlink r:id="rId1058" ref="X283"/>
    <hyperlink r:id="rId1059" ref="Y283"/>
  </hyperlinks>
  <drawing r:id="rId1060"/>
  <tableParts count="1">
    <tablePart r:id="rId1062"/>
  </tableParts>
</worksheet>
</file>